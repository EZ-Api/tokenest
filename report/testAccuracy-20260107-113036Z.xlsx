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uracy" sheetId="1" r:id="rId1"/>
    <sheet name="Summary" sheetId="2" r:id="rId2"/>
    <sheet name="Charts" sheetId="3" r:id="rId3"/>
  </sheets>
  <definedNames>
    <definedName name="_xlnm._FilterDatabase" localSheetId="0" hidden="1">Accuracy!$A$1:$U$39</definedName>
  </definedNames>
  <calcPr calcId="124519" fullCalcOnLoad="1"/>
</workbook>
</file>

<file path=xl/sharedStrings.xml><?xml version="1.0" encoding="utf-8"?>
<sst xmlns="http://schemas.openxmlformats.org/spreadsheetml/2006/main" count="336" uniqueCount="292">
  <si>
    <t>Description</t>
  </si>
  <si>
    <t>Actual (tiktoken-go o200k_base)</t>
  </si>
  <si>
    <t>GPT-Tokenizer</t>
  </si>
  <si>
    <t>GPT-Tokenizer Deviation</t>
  </si>
  <si>
    <t>UltraFast</t>
  </si>
  <si>
    <t>UltraFast Deviation</t>
  </si>
  <si>
    <t>Fast</t>
  </si>
  <si>
    <t>Fast Deviation</t>
  </si>
  <si>
    <t>TokenX</t>
  </si>
  <si>
    <t>TokenX Deviation</t>
  </si>
  <si>
    <t>NewAPI</t>
  </si>
  <si>
    <t>NewAPI Deviation</t>
  </si>
  <si>
    <t>Weighted</t>
  </si>
  <si>
    <t>Weighted Deviation</t>
  </si>
  <si>
    <t>tiktoken-go Avg Time</t>
  </si>
  <si>
    <t>GPT-Tokenizer Avg Time</t>
  </si>
  <si>
    <t>UltraFast Avg Time</t>
  </si>
  <si>
    <t>Fast Avg Time</t>
  </si>
  <si>
    <t>TokenX Avg Time</t>
  </si>
  <si>
    <t>NewAPI Avg Time</t>
  </si>
  <si>
    <t>Weighted Avg Time</t>
  </si>
  <si>
    <t>Short English text</t>
  </si>
  <si>
    <t>18.75us</t>
  </si>
  <si>
    <t>3.46us</t>
  </si>
  <si>
    <t>35ns</t>
  </si>
  <si>
    <t>101ns</t>
  </si>
  <si>
    <t>1.97us</t>
  </si>
  <si>
    <t>581ns</t>
  </si>
  <si>
    <t>1.69us</t>
  </si>
  <si>
    <t>German text with umlauts</t>
  </si>
  <si>
    <t>44.80us</t>
  </si>
  <si>
    <t>7.49us</t>
  </si>
  <si>
    <t>36ns</t>
  </si>
  <si>
    <t>426ns</t>
  </si>
  <si>
    <t>4.17us</t>
  </si>
  <si>
    <t>2.04us</t>
  </si>
  <si>
    <t>3.94us</t>
  </si>
  <si>
    <t>Metamorphosis by Franz Kafka (English)</t>
  </si>
  <si>
    <t>47.45ms</t>
  </si>
  <si>
    <t>15.50ms</t>
  </si>
  <si>
    <t>40ns</t>
  </si>
  <si>
    <t>2.63us</t>
  </si>
  <si>
    <t>7.39ms</t>
  </si>
  <si>
    <t>2.21ms</t>
  </si>
  <si>
    <t>7.01ms</t>
  </si>
  <si>
    <t>Die Verwandlung by Franz Kafka (German)</t>
  </si>
  <si>
    <t>53.52ms</t>
  </si>
  <si>
    <t>19.24ms</t>
  </si>
  <si>
    <t>41ns</t>
  </si>
  <si>
    <t>1.78us</t>
  </si>
  <si>
    <t>7.12ms</t>
  </si>
  <si>
    <t>2.16ms</t>
  </si>
  <si>
    <t>7.32ms</t>
  </si>
  <si>
    <t>道德經 by Laozi (Chinese)</t>
  </si>
  <si>
    <t>17.26ms</t>
  </si>
  <si>
    <t>3.64ms</t>
  </si>
  <si>
    <t>99ns</t>
  </si>
  <si>
    <t>4.08us</t>
  </si>
  <si>
    <t>1.35ms</t>
  </si>
  <si>
    <t>506.41us</t>
  </si>
  <si>
    <t>1.25ms</t>
  </si>
  <si>
    <t>TypeScript ES5 Type Declarations (~ 4000 loc)</t>
  </si>
  <si>
    <t>84.07ms</t>
  </si>
  <si>
    <t>10.51ms</t>
  </si>
  <si>
    <t>64ns</t>
  </si>
  <si>
    <t>1.98us</t>
  </si>
  <si>
    <t>9.42ms</t>
  </si>
  <si>
    <t>2.89ms</t>
  </si>
  <si>
    <t>9.11ms</t>
  </si>
  <si>
    <t>Dataset: adversary tokenx 01 alnum run</t>
  </si>
  <si>
    <t>1.39ms</t>
  </si>
  <si>
    <t>264.95us</t>
  </si>
  <si>
    <t>34ns</t>
  </si>
  <si>
    <t>1.64us</t>
  </si>
  <si>
    <t>106.09us</t>
  </si>
  <si>
    <t>32.24us</t>
  </si>
  <si>
    <t>141.82us</t>
  </si>
  <si>
    <t>Dataset: adversary tokenx 02 alnum run</t>
  </si>
  <si>
    <t>1.50ms</t>
  </si>
  <si>
    <t>273.26us</t>
  </si>
  <si>
    <t>1.63us</t>
  </si>
  <si>
    <t>95.56us</t>
  </si>
  <si>
    <t>28.15us</t>
  </si>
  <si>
    <t>97.95us</t>
  </si>
  <si>
    <t>Dataset: adversary tokenx 03 alnum run</t>
  </si>
  <si>
    <t>1.33ms</t>
  </si>
  <si>
    <t>271.16us</t>
  </si>
  <si>
    <t>1.68us</t>
  </si>
  <si>
    <t>92.41us</t>
  </si>
  <si>
    <t>28.12us</t>
  </si>
  <si>
    <t>99.68us</t>
  </si>
  <si>
    <t>Dataset: adversary tokenx 04 alnum run</t>
  </si>
  <si>
    <t>1.32ms</t>
  </si>
  <si>
    <t>268.13us</t>
  </si>
  <si>
    <t>1.84us</t>
  </si>
  <si>
    <t>95.43us</t>
  </si>
  <si>
    <t>31.82us</t>
  </si>
  <si>
    <t>102.63us</t>
  </si>
  <si>
    <t>Dataset: adversary tokenx 05 alnum run</t>
  </si>
  <si>
    <t>34.54ms</t>
  </si>
  <si>
    <t>8.01ms</t>
  </si>
  <si>
    <t>1.42us</t>
  </si>
  <si>
    <t>2.45ms</t>
  </si>
  <si>
    <t>705.24us</t>
  </si>
  <si>
    <t>2.52ms</t>
  </si>
  <si>
    <t>Dataset: adversary tokenx 05 hex stream</t>
  </si>
  <si>
    <t>1.44ms</t>
  </si>
  <si>
    <t>203.88us</t>
  </si>
  <si>
    <t>1.30us</t>
  </si>
  <si>
    <t>93.46us</t>
  </si>
  <si>
    <t>28.62us</t>
  </si>
  <si>
    <t>98.09us</t>
  </si>
  <si>
    <t>Dataset: adversary weighted 01 alnum run</t>
  </si>
  <si>
    <t>1.37ms</t>
  </si>
  <si>
    <t>274.75us</t>
  </si>
  <si>
    <t>1.57us</t>
  </si>
  <si>
    <t>96.18us</t>
  </si>
  <si>
    <t>27.80us</t>
  </si>
  <si>
    <t>97.53us</t>
  </si>
  <si>
    <t>Dataset: adversary weighted 02 alnum run</t>
  </si>
  <si>
    <t>1.47ms</t>
  </si>
  <si>
    <t>269.92us</t>
  </si>
  <si>
    <t>1.62us</t>
  </si>
  <si>
    <t>94.34us</t>
  </si>
  <si>
    <t>28.45us</t>
  </si>
  <si>
    <t>100.32us</t>
  </si>
  <si>
    <t>Dataset: adversary weighted 03 alnum run</t>
  </si>
  <si>
    <t>1.34ms</t>
  </si>
  <si>
    <t>341.08us</t>
  </si>
  <si>
    <t>1.59us</t>
  </si>
  <si>
    <t>93.60us</t>
  </si>
  <si>
    <t>31.76us</t>
  </si>
  <si>
    <t>99.39us</t>
  </si>
  <si>
    <t>Dataset: adversary weighted 04 alnum run</t>
  </si>
  <si>
    <t>1.38ms</t>
  </si>
  <si>
    <t>313.18us</t>
  </si>
  <si>
    <t>1.58us</t>
  </si>
  <si>
    <t>94.00us</t>
  </si>
  <si>
    <t>28.05us</t>
  </si>
  <si>
    <t>97.60us</t>
  </si>
  <si>
    <t>Dataset: adversary weighted 05 alnum run</t>
  </si>
  <si>
    <t>34.08ms</t>
  </si>
  <si>
    <t>7.88ms</t>
  </si>
  <si>
    <t>43ns</t>
  </si>
  <si>
    <t>2.41ms</t>
  </si>
  <si>
    <t>797.60us</t>
  </si>
  <si>
    <t>2.58ms</t>
  </si>
  <si>
    <t>Dataset: adversary weighted 05 base64</t>
  </si>
  <si>
    <t>1.40ms</t>
  </si>
  <si>
    <t>430.24us</t>
  </si>
  <si>
    <t>3.60us</t>
  </si>
  <si>
    <t>98.19us</t>
  </si>
  <si>
    <t>28.08us</t>
  </si>
  <si>
    <t>98.77us</t>
  </si>
  <si>
    <t>Dataset: analects zh</t>
  </si>
  <si>
    <t>27.68ms</t>
  </si>
  <si>
    <t>10.14ms</t>
  </si>
  <si>
    <t>42ns</t>
  </si>
  <si>
    <t>1.67us</t>
  </si>
  <si>
    <t>522.55us</t>
  </si>
  <si>
    <t>758.30us</t>
  </si>
  <si>
    <t>1.06ms</t>
  </si>
  <si>
    <t>Dataset: bible kjv en</t>
  </si>
  <si>
    <t>19.37ms</t>
  </si>
  <si>
    <t>5.43ms</t>
  </si>
  <si>
    <t>47ns</t>
  </si>
  <si>
    <t>2.55ms</t>
  </si>
  <si>
    <t>804.44us</t>
  </si>
  <si>
    <t>2.19ms</t>
  </si>
  <si>
    <t>Dataset: candide fr</t>
  </si>
  <si>
    <t>20.39ms</t>
  </si>
  <si>
    <t>6.86ms</t>
  </si>
  <si>
    <t>50ns</t>
  </si>
  <si>
    <t>3.17us</t>
  </si>
  <si>
    <t>2.56ms</t>
  </si>
  <si>
    <t>871.66us</t>
  </si>
  <si>
    <t>2.59ms</t>
  </si>
  <si>
    <t>Dataset: capital en</t>
  </si>
  <si>
    <t>16.97ms</t>
  </si>
  <si>
    <t>4.09ms</t>
  </si>
  <si>
    <t>2.84us</t>
  </si>
  <si>
    <t>2.51ms</t>
  </si>
  <si>
    <t>778.83us</t>
  </si>
  <si>
    <t>2.48ms</t>
  </si>
  <si>
    <t>Dataset: faust de</t>
  </si>
  <si>
    <t>20.18ms</t>
  </si>
  <si>
    <t>6.57ms</t>
  </si>
  <si>
    <t>54ns</t>
  </si>
  <si>
    <t>3.05ms</t>
  </si>
  <si>
    <t>1.10ms</t>
  </si>
  <si>
    <t>Dataset: golang net http server</t>
  </si>
  <si>
    <t>20.52ms</t>
  </si>
  <si>
    <t>3.03ms</t>
  </si>
  <si>
    <t>1.74us</t>
  </si>
  <si>
    <t>2.50ms</t>
  </si>
  <si>
    <t>763.87us</t>
  </si>
  <si>
    <t>2.34ms</t>
  </si>
  <si>
    <t>Dataset: mixed3 01 zh en code</t>
  </si>
  <si>
    <t>32.12ms</t>
  </si>
  <si>
    <t>10.53ms</t>
  </si>
  <si>
    <t>45ns</t>
  </si>
  <si>
    <t>1.60us</t>
  </si>
  <si>
    <t>2.01ms</t>
  </si>
  <si>
    <t>1.01ms</t>
  </si>
  <si>
    <t>2.25ms</t>
  </si>
  <si>
    <t>Dataset: mixed3 02 zh en code</t>
  </si>
  <si>
    <t>31.96ms</t>
  </si>
  <si>
    <t>12.22ms</t>
  </si>
  <si>
    <t>52ns</t>
  </si>
  <si>
    <t>1.99ms</t>
  </si>
  <si>
    <t>2.33ms</t>
  </si>
  <si>
    <t>Dataset: mixed3 03 zh en code</t>
  </si>
  <si>
    <t>30.19ms</t>
  </si>
  <si>
    <t>10.05ms</t>
  </si>
  <si>
    <t>1.71us</t>
  </si>
  <si>
    <t>2.13ms</t>
  </si>
  <si>
    <t>996.32us</t>
  </si>
  <si>
    <t>2.35ms</t>
  </si>
  <si>
    <t>Dataset: mixed5 01 zh en de fr code</t>
  </si>
  <si>
    <t>27.33ms</t>
  </si>
  <si>
    <t>9.57ms</t>
  </si>
  <si>
    <t>48ns</t>
  </si>
  <si>
    <t>965.92us</t>
  </si>
  <si>
    <t>2.42ms</t>
  </si>
  <si>
    <t>Dataset: mixed5 02 zh en de fr code</t>
  </si>
  <si>
    <t>26.12ms</t>
  </si>
  <si>
    <t>9.15ms</t>
  </si>
  <si>
    <t>44ns</t>
  </si>
  <si>
    <t>2.26ms</t>
  </si>
  <si>
    <t>958.59us</t>
  </si>
  <si>
    <t>Dataset: mixed5 03 zh en de fr code</t>
  </si>
  <si>
    <t>26.73ms</t>
  </si>
  <si>
    <t>9.35ms</t>
  </si>
  <si>
    <t>1.72us</t>
  </si>
  <si>
    <t>2.24ms</t>
  </si>
  <si>
    <t>1.03ms</t>
  </si>
  <si>
    <t>Dataset: mixed5 04 zh en de fr code</t>
  </si>
  <si>
    <t>27.23ms</t>
  </si>
  <si>
    <t>10.07ms</t>
  </si>
  <si>
    <t>1.77us</t>
  </si>
  <si>
    <t>969.73us</t>
  </si>
  <si>
    <t>Dataset: mixed5 05 zh en de fr code</t>
  </si>
  <si>
    <t>29.43ms</t>
  </si>
  <si>
    <t>9.33ms</t>
  </si>
  <si>
    <t>53ns</t>
  </si>
  <si>
    <t>3.02us</t>
  </si>
  <si>
    <t>2.38ms</t>
  </si>
  <si>
    <t>960.87us</t>
  </si>
  <si>
    <t>2.40ms</t>
  </si>
  <si>
    <t>Dataset: toxic base64</t>
  </si>
  <si>
    <t>36.79ms</t>
  </si>
  <si>
    <t>11.96ms</t>
  </si>
  <si>
    <t>1.47us</t>
  </si>
  <si>
    <t>2.98ms</t>
  </si>
  <si>
    <t>883.87us</t>
  </si>
  <si>
    <t>3.53ms</t>
  </si>
  <si>
    <t>Dataset: toxic log</t>
  </si>
  <si>
    <t>32.74ms</t>
  </si>
  <si>
    <t>2.90ms</t>
  </si>
  <si>
    <t>732.98us</t>
  </si>
  <si>
    <t>1.64ms</t>
  </si>
  <si>
    <t>Dataset: toxic markdown table</t>
  </si>
  <si>
    <t>40.18ms</t>
  </si>
  <si>
    <t>4.58ms</t>
  </si>
  <si>
    <t>51ns</t>
  </si>
  <si>
    <t>741.88us</t>
  </si>
  <si>
    <t>1.54ms</t>
  </si>
  <si>
    <t>Dataset: toxic minified js</t>
  </si>
  <si>
    <t>33.34ms</t>
  </si>
  <si>
    <t>8.46ms</t>
  </si>
  <si>
    <t>2.27ms</t>
  </si>
  <si>
    <t>840.01us</t>
  </si>
  <si>
    <t>1.71ms</t>
  </si>
  <si>
    <t>Dataset: toxic minified json</t>
  </si>
  <si>
    <t>29.67ms</t>
  </si>
  <si>
    <t>16.74ms</t>
  </si>
  <si>
    <t>2.28us</t>
  </si>
  <si>
    <t>916.08us</t>
  </si>
  <si>
    <t>1.42ms</t>
  </si>
  <si>
    <t>Mixed (EN+CJK+Code)</t>
  </si>
  <si>
    <t>54.28ms</t>
  </si>
  <si>
    <t>16.08ms</t>
  </si>
  <si>
    <t>85ns</t>
  </si>
  <si>
    <t>5.64us</t>
  </si>
  <si>
    <t>6.58ms</t>
  </si>
  <si>
    <t>2.07ms</t>
  </si>
  <si>
    <t>5.88ms</t>
  </si>
  <si>
    <t>Algorithm</t>
  </si>
  <si>
    <t>Max overestimation</t>
  </si>
  <si>
    <t>Over sample</t>
  </si>
  <si>
    <t>Max underestimation</t>
  </si>
  <si>
    <t>Under sample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</si>
</sst>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EE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GPT-Tokenizer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GPT-Tokenizer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Accuracy!$D$2:$D$39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0.0001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0.00%" sourceLinked="0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UltraFast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UltraFast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Accuracy!$F$2:$F$39</c:f>
              <c:numCache>
                <c:formatCode>General</c:formatCode>
                <c:ptCount val="38"/>
                <c:pt idx="0">
                  <c:v>0</c:v>
                </c:pt>
                <c:pt idx="1">
                  <c:v>-0.1458</c:v>
                </c:pt>
                <c:pt idx="2">
                  <c:v>0.1172</c:v>
                </c:pt>
                <c:pt idx="3">
                  <c:v>0.0341</c:v>
                </c:pt>
                <c:pt idx="4">
                  <c:v>-0.1126</c:v>
                </c:pt>
                <c:pt idx="5">
                  <c:v>0.1079</c:v>
                </c:pt>
                <c:pt idx="6">
                  <c:v>-0.6364</c:v>
                </c:pt>
                <c:pt idx="7">
                  <c:v>-0.6304999999999999</c:v>
                </c:pt>
                <c:pt idx="8">
                  <c:v>-0.6285000000000001</c:v>
                </c:pt>
                <c:pt idx="9">
                  <c:v>-0.628</c:v>
                </c:pt>
                <c:pt idx="10">
                  <c:v>-0.6392</c:v>
                </c:pt>
                <c:pt idx="11">
                  <c:v>-0.5610000000000001</c:v>
                </c:pt>
                <c:pt idx="12">
                  <c:v>-0.6364</c:v>
                </c:pt>
                <c:pt idx="13">
                  <c:v>-0.6285000000000001</c:v>
                </c:pt>
                <c:pt idx="14">
                  <c:v>-0.628</c:v>
                </c:pt>
                <c:pt idx="15">
                  <c:v>-0.6304999999999999</c:v>
                </c:pt>
                <c:pt idx="16">
                  <c:v>-0.6406000000000001</c:v>
                </c:pt>
                <c:pt idx="17">
                  <c:v>-0.6332</c:v>
                </c:pt>
                <c:pt idx="18">
                  <c:v>-0.2894</c:v>
                </c:pt>
                <c:pt idx="19">
                  <c:v>-0.0721</c:v>
                </c:pt>
                <c:pt idx="20">
                  <c:v>-0.07969999999999999</c:v>
                </c:pt>
                <c:pt idx="21">
                  <c:v>0.1993</c:v>
                </c:pt>
                <c:pt idx="22">
                  <c:v>-0.0774</c:v>
                </c:pt>
                <c:pt idx="23">
                  <c:v>-0.05019999999999999</c:v>
                </c:pt>
                <c:pt idx="24">
                  <c:v>-0.1986</c:v>
                </c:pt>
                <c:pt idx="25">
                  <c:v>-0.2068</c:v>
                </c:pt>
                <c:pt idx="26">
                  <c:v>-0.1849</c:v>
                </c:pt>
                <c:pt idx="27">
                  <c:v>-0.1646</c:v>
                </c:pt>
                <c:pt idx="28">
                  <c:v>-0.1693</c:v>
                </c:pt>
                <c:pt idx="29">
                  <c:v>-0.1721</c:v>
                </c:pt>
                <c:pt idx="30">
                  <c:v>-0.1528</c:v>
                </c:pt>
                <c:pt idx="31">
                  <c:v>-0.1559</c:v>
                </c:pt>
                <c:pt idx="32">
                  <c:v>-0.6351</c:v>
                </c:pt>
                <c:pt idx="33">
                  <c:v>-0.4384</c:v>
                </c:pt>
                <c:pt idx="34">
                  <c:v>-0.494</c:v>
                </c:pt>
                <c:pt idx="35">
                  <c:v>-0.4693</c:v>
                </c:pt>
                <c:pt idx="36">
                  <c:v>-0.3736</c:v>
                </c:pt>
                <c:pt idx="37">
                  <c:v>0.0264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0.00%" sourceLinked="0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Fast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Fast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Accuracy!$H$2:$H$39</c:f>
              <c:numCache>
                <c:formatCode>General</c:formatCode>
                <c:ptCount val="38"/>
                <c:pt idx="0">
                  <c:v>0</c:v>
                </c:pt>
                <c:pt idx="1">
                  <c:v>-0.125</c:v>
                </c:pt>
                <c:pt idx="2">
                  <c:v>0.1212</c:v>
                </c:pt>
                <c:pt idx="3">
                  <c:v>0.03759999999999999</c:v>
                </c:pt>
                <c:pt idx="4">
                  <c:v>-0.06759999999999999</c:v>
                </c:pt>
                <c:pt idx="5">
                  <c:v>0.1604</c:v>
                </c:pt>
                <c:pt idx="6">
                  <c:v>-0.6364</c:v>
                </c:pt>
                <c:pt idx="7">
                  <c:v>-0.6304999999999999</c:v>
                </c:pt>
                <c:pt idx="8">
                  <c:v>-0.6285000000000001</c:v>
                </c:pt>
                <c:pt idx="9">
                  <c:v>-0.628</c:v>
                </c:pt>
                <c:pt idx="10">
                  <c:v>-0.6392</c:v>
                </c:pt>
                <c:pt idx="11">
                  <c:v>-0.5610000000000001</c:v>
                </c:pt>
                <c:pt idx="12">
                  <c:v>-0.6364</c:v>
                </c:pt>
                <c:pt idx="13">
                  <c:v>-0.6285000000000001</c:v>
                </c:pt>
                <c:pt idx="14">
                  <c:v>-0.628</c:v>
                </c:pt>
                <c:pt idx="15">
                  <c:v>-0.6304999999999999</c:v>
                </c:pt>
                <c:pt idx="16">
                  <c:v>-0.6406000000000001</c:v>
                </c:pt>
                <c:pt idx="17">
                  <c:v>-0.6302</c:v>
                </c:pt>
                <c:pt idx="18">
                  <c:v>-0.0287</c:v>
                </c:pt>
                <c:pt idx="19">
                  <c:v>-0.0629</c:v>
                </c:pt>
                <c:pt idx="20">
                  <c:v>-0.0696</c:v>
                </c:pt>
                <c:pt idx="21">
                  <c:v>0.2079</c:v>
                </c:pt>
                <c:pt idx="22">
                  <c:v>-0.0687</c:v>
                </c:pt>
                <c:pt idx="23">
                  <c:v>-0.0254</c:v>
                </c:pt>
                <c:pt idx="24">
                  <c:v>-0.094</c:v>
                </c:pt>
                <c:pt idx="25">
                  <c:v>-0.0832</c:v>
                </c:pt>
                <c:pt idx="26">
                  <c:v>-0.0731</c:v>
                </c:pt>
                <c:pt idx="27">
                  <c:v>-0.1188</c:v>
                </c:pt>
                <c:pt idx="28">
                  <c:v>-0.1207</c:v>
                </c:pt>
                <c:pt idx="29">
                  <c:v>-0.1234</c:v>
                </c:pt>
                <c:pt idx="30">
                  <c:v>-0.1042</c:v>
                </c:pt>
                <c:pt idx="31">
                  <c:v>-0.1107</c:v>
                </c:pt>
                <c:pt idx="32">
                  <c:v>-0.6321</c:v>
                </c:pt>
                <c:pt idx="33">
                  <c:v>-0.4133</c:v>
                </c:pt>
                <c:pt idx="34">
                  <c:v>-0.4633</c:v>
                </c:pt>
                <c:pt idx="35">
                  <c:v>-0.4265</c:v>
                </c:pt>
                <c:pt idx="36">
                  <c:v>-0.293</c:v>
                </c:pt>
                <c:pt idx="37">
                  <c:v>0.0599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0.00%" sourceLinked="0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TokenX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TokenX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Accuracy!$J$2:$J$39</c:f>
              <c:numCache>
                <c:formatCode>General</c:formatCode>
                <c:ptCount val="38"/>
                <c:pt idx="0">
                  <c:v>0.1</c:v>
                </c:pt>
                <c:pt idx="1">
                  <c:v>0.0208</c:v>
                </c:pt>
                <c:pt idx="2">
                  <c:v>0.1231</c:v>
                </c:pt>
                <c:pt idx="3">
                  <c:v>-0.0067</c:v>
                </c:pt>
                <c:pt idx="4">
                  <c:v>0.03</c:v>
                </c:pt>
                <c:pt idx="5">
                  <c:v>0.06179999999999999</c:v>
                </c:pt>
                <c:pt idx="6">
                  <c:v>-0.7570999999999999</c:v>
                </c:pt>
                <c:pt idx="7">
                  <c:v>-0.7531</c:v>
                </c:pt>
                <c:pt idx="8">
                  <c:v>-0.7519</c:v>
                </c:pt>
                <c:pt idx="9">
                  <c:v>-0.7515000000000001</c:v>
                </c:pt>
                <c:pt idx="10">
                  <c:v>-0.7595000000000001</c:v>
                </c:pt>
                <c:pt idx="11">
                  <c:v>-0.7068000000000001</c:v>
                </c:pt>
                <c:pt idx="12">
                  <c:v>-0.7570999999999999</c:v>
                </c:pt>
                <c:pt idx="13">
                  <c:v>-0.7519</c:v>
                </c:pt>
                <c:pt idx="14">
                  <c:v>-0.7515000000000001</c:v>
                </c:pt>
                <c:pt idx="15">
                  <c:v>-0.7531</c:v>
                </c:pt>
                <c:pt idx="16">
                  <c:v>-0.7604000000000001</c:v>
                </c:pt>
                <c:pt idx="17">
                  <c:v>-0.7065</c:v>
                </c:pt>
                <c:pt idx="18">
                  <c:v>-0.06469999999999999</c:v>
                </c:pt>
                <c:pt idx="19">
                  <c:v>-0.04389999999999999</c:v>
                </c:pt>
                <c:pt idx="20">
                  <c:v>0.111</c:v>
                </c:pt>
                <c:pt idx="21">
                  <c:v>0.1521</c:v>
                </c:pt>
                <c:pt idx="22">
                  <c:v>-0.0738</c:v>
                </c:pt>
                <c:pt idx="23">
                  <c:v>0.1032</c:v>
                </c:pt>
                <c:pt idx="24">
                  <c:v>-0.0304</c:v>
                </c:pt>
                <c:pt idx="25">
                  <c:v>-0.0304</c:v>
                </c:pt>
                <c:pt idx="26">
                  <c:v>0.0015</c:v>
                </c:pt>
                <c:pt idx="27">
                  <c:v>-0.0196</c:v>
                </c:pt>
                <c:pt idx="28">
                  <c:v>-0.0168</c:v>
                </c:pt>
                <c:pt idx="29">
                  <c:v>-0.0115</c:v>
                </c:pt>
                <c:pt idx="30">
                  <c:v>0.0024</c:v>
                </c:pt>
                <c:pt idx="31">
                  <c:v>0.008100000000000001</c:v>
                </c:pt>
                <c:pt idx="32">
                  <c:v>-0.701</c:v>
                </c:pt>
                <c:pt idx="33">
                  <c:v>-0.09380000000000001</c:v>
                </c:pt>
                <c:pt idx="34">
                  <c:v>-0.1933</c:v>
                </c:pt>
                <c:pt idx="35">
                  <c:v>0.08460000000000001</c:v>
                </c:pt>
                <c:pt idx="36">
                  <c:v>0.8754999999999999</c:v>
                </c:pt>
                <c:pt idx="37">
                  <c:v>0.0601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0.00%" sourceLinked="0"/>
        <c:tickLblPos val="nextTo"/>
        <c:crossAx val="5004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NewAPI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NewAPI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Accuracy!$L$2:$L$39</c:f>
              <c:numCache>
                <c:formatCode>General</c:formatCode>
                <c:ptCount val="38"/>
                <c:pt idx="0">
                  <c:v>0.1</c:v>
                </c:pt>
                <c:pt idx="1">
                  <c:v>-0.3958</c:v>
                </c:pt>
                <c:pt idx="2">
                  <c:v>0.2464</c:v>
                </c:pt>
                <c:pt idx="3">
                  <c:v>0.0029</c:v>
                </c:pt>
                <c:pt idx="4">
                  <c:v>-0.0703</c:v>
                </c:pt>
                <c:pt idx="5">
                  <c:v>0.2891</c:v>
                </c:pt>
                <c:pt idx="6">
                  <c:v>-0.4742</c:v>
                </c:pt>
                <c:pt idx="7">
                  <c:v>-0.4686</c:v>
                </c:pt>
                <c:pt idx="8">
                  <c:v>-0.5104</c:v>
                </c:pt>
                <c:pt idx="9">
                  <c:v>-0.5275</c:v>
                </c:pt>
                <c:pt idx="10">
                  <c:v>-0.4882</c:v>
                </c:pt>
                <c:pt idx="11">
                  <c:v>0.09480000000000001</c:v>
                </c:pt>
                <c:pt idx="12">
                  <c:v>-0.4742</c:v>
                </c:pt>
                <c:pt idx="13">
                  <c:v>-0.5104</c:v>
                </c:pt>
                <c:pt idx="14">
                  <c:v>-0.5275</c:v>
                </c:pt>
                <c:pt idx="15">
                  <c:v>-0.4686</c:v>
                </c:pt>
                <c:pt idx="16">
                  <c:v>-0.4605</c:v>
                </c:pt>
                <c:pt idx="17">
                  <c:v>-0.4277</c:v>
                </c:pt>
                <c:pt idx="18">
                  <c:v>-0.2893</c:v>
                </c:pt>
                <c:pt idx="19">
                  <c:v>0.1913</c:v>
                </c:pt>
                <c:pt idx="20">
                  <c:v>-0.0161</c:v>
                </c:pt>
                <c:pt idx="21">
                  <c:v>0.2795</c:v>
                </c:pt>
                <c:pt idx="22">
                  <c:v>-0.0664</c:v>
                </c:pt>
                <c:pt idx="23">
                  <c:v>0.1306</c:v>
                </c:pt>
                <c:pt idx="24">
                  <c:v>-0.1266</c:v>
                </c:pt>
                <c:pt idx="25">
                  <c:v>-0.149</c:v>
                </c:pt>
                <c:pt idx="26">
                  <c:v>-0.1324</c:v>
                </c:pt>
                <c:pt idx="27">
                  <c:v>-0.1091</c:v>
                </c:pt>
                <c:pt idx="28">
                  <c:v>-0.1072</c:v>
                </c:pt>
                <c:pt idx="29">
                  <c:v>-0.1159</c:v>
                </c:pt>
                <c:pt idx="30">
                  <c:v>-0.1118</c:v>
                </c:pt>
                <c:pt idx="31">
                  <c:v>-0.1037</c:v>
                </c:pt>
                <c:pt idx="32">
                  <c:v>-0.4324</c:v>
                </c:pt>
                <c:pt idx="33">
                  <c:v>0.0643</c:v>
                </c:pt>
                <c:pt idx="34">
                  <c:v>0.0098</c:v>
                </c:pt>
                <c:pt idx="35">
                  <c:v>0.1287</c:v>
                </c:pt>
                <c:pt idx="36">
                  <c:v>0.147</c:v>
                </c:pt>
                <c:pt idx="37">
                  <c:v>0.1775</c:v>
                </c:pt>
              </c:numCache>
            </c:numRef>
          </c:val>
        </c:ser>
        <c:axId val="50050001"/>
        <c:axId val="50050002"/>
      </c:barChart>
      <c:catAx>
        <c:axId val="50050001"/>
        <c:scaling>
          <c:orientation val="minMax"/>
        </c:scaling>
        <c:axPos val="b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/>
        <c:numFmt formatCode="0.00%" sourceLinked="0"/>
        <c:tickLblPos val="nextTo"/>
        <c:crossAx val="5005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Weighted Deviation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Weighted Deviation</c:v>
          </c:tx>
          <c:cat>
            <c:strRef>
              <c:f>Accuracy!$A$2:$A$39</c:f>
              <c:strCache>
                <c:ptCount val="38"/>
                <c:pt idx="0">
                  <c:v>Short English text</c:v>
                </c:pt>
                <c:pt idx="1">
                  <c:v>German text with umlauts</c:v>
                </c:pt>
                <c:pt idx="2">
                  <c:v>Metamorphosis by Franz Kafka (English)</c:v>
                </c:pt>
                <c:pt idx="3">
                  <c:v>Die Verwandlung by Franz Kafka (German)</c:v>
                </c:pt>
                <c:pt idx="4">
                  <c:v>道德經 by Laozi (Chinese)</c:v>
                </c:pt>
                <c:pt idx="5">
                  <c:v>TypeScript ES5 Type Declarations (~ 4000 loc)</c:v>
                </c:pt>
                <c:pt idx="6">
                  <c:v>Dataset: adversary tokenx 01 alnum run</c:v>
                </c:pt>
                <c:pt idx="7">
                  <c:v>Dataset: adversary tokenx 02 alnum run</c:v>
                </c:pt>
                <c:pt idx="8">
                  <c:v>Dataset: adversary tokenx 03 alnum run</c:v>
                </c:pt>
                <c:pt idx="9">
                  <c:v>Dataset: adversary tokenx 04 alnum run</c:v>
                </c:pt>
                <c:pt idx="10">
                  <c:v>Dataset: adversary tokenx 05 alnum run</c:v>
                </c:pt>
                <c:pt idx="11">
                  <c:v>Dataset: adversary tokenx 05 hex stream</c:v>
                </c:pt>
                <c:pt idx="12">
                  <c:v>Dataset: adversary weighted 01 alnum run</c:v>
                </c:pt>
                <c:pt idx="13">
                  <c:v>Dataset: adversary weighted 02 alnum run</c:v>
                </c:pt>
                <c:pt idx="14">
                  <c:v>Dataset: adversary weighted 03 alnum run</c:v>
                </c:pt>
                <c:pt idx="15">
                  <c:v>Dataset: adversary weighted 04 alnum run</c:v>
                </c:pt>
                <c:pt idx="16">
                  <c:v>Dataset: adversary weighted 05 alnum run</c:v>
                </c:pt>
                <c:pt idx="17">
                  <c:v>Dataset: adversary weighted 05 base64</c:v>
                </c:pt>
                <c:pt idx="18">
                  <c:v>Dataset: analects zh</c:v>
                </c:pt>
                <c:pt idx="19">
                  <c:v>Dataset: bible kjv en</c:v>
                </c:pt>
                <c:pt idx="20">
                  <c:v>Dataset: candide fr</c:v>
                </c:pt>
                <c:pt idx="21">
                  <c:v>Dataset: capital en</c:v>
                </c:pt>
                <c:pt idx="22">
                  <c:v>Dataset: faust de</c:v>
                </c:pt>
                <c:pt idx="23">
                  <c:v>Dataset: golang net http server</c:v>
                </c:pt>
                <c:pt idx="24">
                  <c:v>Dataset: mixed3 01 zh en code</c:v>
                </c:pt>
                <c:pt idx="25">
                  <c:v>Dataset: mixed3 02 zh en code</c:v>
                </c:pt>
                <c:pt idx="26">
                  <c:v>Dataset: mixed3 03 zh en code</c:v>
                </c:pt>
                <c:pt idx="27">
                  <c:v>Dataset: mixed5 01 zh en de fr code</c:v>
                </c:pt>
                <c:pt idx="28">
                  <c:v>Dataset: mixed5 02 zh en de fr code</c:v>
                </c:pt>
                <c:pt idx="29">
                  <c:v>Dataset: mixed5 03 zh en de fr code</c:v>
                </c:pt>
                <c:pt idx="30">
                  <c:v>Dataset: mixed5 04 zh en de fr code</c:v>
                </c:pt>
                <c:pt idx="31">
                  <c:v>Dataset: mixed5 05 zh en de fr code</c:v>
                </c:pt>
                <c:pt idx="32">
                  <c:v>Dataset: toxic base64</c:v>
                </c:pt>
                <c:pt idx="33">
                  <c:v>Dataset: toxic log</c:v>
                </c:pt>
                <c:pt idx="34">
                  <c:v>Dataset: toxic markdown table</c:v>
                </c:pt>
                <c:pt idx="35">
                  <c:v>Dataset: toxic minified js</c:v>
                </c:pt>
                <c:pt idx="36">
                  <c:v>Dataset: toxic minified json</c:v>
                </c:pt>
                <c:pt idx="37">
                  <c:v>Mixed (EN+CJK+Code)</c:v>
                </c:pt>
              </c:strCache>
            </c:strRef>
          </c:cat>
          <c:val>
            <c:numRef>
              <c:f>Accuracy!$N$2:$N$39</c:f>
              <c:numCache>
                <c:formatCode>General</c:formatCode>
                <c:ptCount val="38"/>
                <c:pt idx="0">
                  <c:v>0.1</c:v>
                </c:pt>
                <c:pt idx="1">
                  <c:v>-0.0208</c:v>
                </c:pt>
                <c:pt idx="2">
                  <c:v>0.0622</c:v>
                </c:pt>
                <c:pt idx="3">
                  <c:v>-0.0619</c:v>
                </c:pt>
                <c:pt idx="4">
                  <c:v>-0.0073</c:v>
                </c:pt>
                <c:pt idx="5">
                  <c:v>0.0004</c:v>
                </c:pt>
                <c:pt idx="6">
                  <c:v>-0.7504999999999999</c:v>
                </c:pt>
                <c:pt idx="7">
                  <c:v>-0.7465000000000001</c:v>
                </c:pt>
                <c:pt idx="8">
                  <c:v>-0.7474</c:v>
                </c:pt>
                <c:pt idx="9">
                  <c:v>-0.747</c:v>
                </c:pt>
                <c:pt idx="10">
                  <c:v>-0.7545999999999999</c:v>
                </c:pt>
                <c:pt idx="11">
                  <c:v>-0.6479</c:v>
                </c:pt>
                <c:pt idx="12">
                  <c:v>-0.7504999999999999</c:v>
                </c:pt>
                <c:pt idx="13">
                  <c:v>-0.7474</c:v>
                </c:pt>
                <c:pt idx="14">
                  <c:v>-0.747</c:v>
                </c:pt>
                <c:pt idx="15">
                  <c:v>-0.7465000000000001</c:v>
                </c:pt>
                <c:pt idx="16">
                  <c:v>-0.7544</c:v>
                </c:pt>
                <c:pt idx="17">
                  <c:v>-0.7006999999999999</c:v>
                </c:pt>
                <c:pt idx="18">
                  <c:v>-0.0665</c:v>
                </c:pt>
                <c:pt idx="19">
                  <c:v>-0.0848</c:v>
                </c:pt>
                <c:pt idx="20">
                  <c:v>0.0509</c:v>
                </c:pt>
                <c:pt idx="21">
                  <c:v>0.09050000000000001</c:v>
                </c:pt>
                <c:pt idx="22">
                  <c:v>-0.1271</c:v>
                </c:pt>
                <c:pt idx="23">
                  <c:v>0.0416</c:v>
                </c:pt>
                <c:pt idx="24">
                  <c:v>-0.0623</c:v>
                </c:pt>
                <c:pt idx="25">
                  <c:v>-0.06280000000000001</c:v>
                </c:pt>
                <c:pt idx="26">
                  <c:v>-0.0331</c:v>
                </c:pt>
                <c:pt idx="27">
                  <c:v>-0.0594</c:v>
                </c:pt>
                <c:pt idx="28">
                  <c:v>-0.0579</c:v>
                </c:pt>
                <c:pt idx="29">
                  <c:v>-0.0533</c:v>
                </c:pt>
                <c:pt idx="30">
                  <c:v>-0.0414</c:v>
                </c:pt>
                <c:pt idx="31">
                  <c:v>-0.0348</c:v>
                </c:pt>
                <c:pt idx="32">
                  <c:v>-0.6956</c:v>
                </c:pt>
                <c:pt idx="33">
                  <c:v>0.032</c:v>
                </c:pt>
                <c:pt idx="34">
                  <c:v>-0.0653</c:v>
                </c:pt>
                <c:pt idx="35">
                  <c:v>0.1795</c:v>
                </c:pt>
                <c:pt idx="36">
                  <c:v>0.9059</c:v>
                </c:pt>
                <c:pt idx="37">
                  <c:v>0.0036</c:v>
                </c:pt>
              </c:numCache>
            </c:numRef>
          </c:val>
        </c:ser>
        <c:axId val="50060001"/>
        <c:axId val="50060002"/>
      </c:barChart>
      <c:catAx>
        <c:axId val="50060001"/>
        <c:scaling>
          <c:orientation val="minMax"/>
        </c:scaling>
        <c:axPos val="b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</c:scaling>
        <c:axPos val="l"/>
        <c:majorGridlines/>
        <c:numFmt formatCode="0.00%" sourceLinked="0"/>
        <c:tickLblPos val="nextTo"/>
        <c:crossAx val="5006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0</xdr:colOff>
      <xdr:row>17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18</xdr:col>
      <xdr:colOff>0</xdr:colOff>
      <xdr:row>17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0</xdr:rowOff>
    </xdr:from>
    <xdr:to>
      <xdr:col>9</xdr:col>
      <xdr:colOff>0</xdr:colOff>
      <xdr:row>35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18</xdr:row>
      <xdr:rowOff>0</xdr:rowOff>
    </xdr:from>
    <xdr:to>
      <xdr:col>18</xdr:col>
      <xdr:colOff>0</xdr:colOff>
      <xdr:row>35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9</xdr:col>
      <xdr:colOff>0</xdr:colOff>
      <xdr:row>53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36</xdr:row>
      <xdr:rowOff>0</xdr:rowOff>
    </xdr:from>
    <xdr:to>
      <xdr:col>18</xdr:col>
      <xdr:colOff>0</xdr:colOff>
      <xdr:row>53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2.7109375" customWidth="1"/>
    <col min="2" max="21" width="18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>
        <v>10</v>
      </c>
      <c r="C2" s="2">
        <v>10</v>
      </c>
      <c r="D2" s="3">
        <v>0</v>
      </c>
      <c r="E2" s="2">
        <v>10</v>
      </c>
      <c r="F2" s="3">
        <v>0</v>
      </c>
      <c r="G2" s="2">
        <v>10</v>
      </c>
      <c r="H2" s="3">
        <v>0</v>
      </c>
      <c r="I2" s="2">
        <v>11</v>
      </c>
      <c r="J2" s="3">
        <v>0.1</v>
      </c>
      <c r="K2" s="2">
        <v>11</v>
      </c>
      <c r="L2" s="3">
        <v>0.1</v>
      </c>
      <c r="M2" s="2">
        <v>11</v>
      </c>
      <c r="N2" s="3">
        <v>0.1</v>
      </c>
      <c r="O2" s="2" t="s">
        <v>22</v>
      </c>
      <c r="P2" s="2" t="s">
        <v>23</v>
      </c>
      <c r="Q2" s="2" t="s">
        <v>24</v>
      </c>
      <c r="R2" s="2" t="s">
        <v>25</v>
      </c>
      <c r="S2" s="2" t="s">
        <v>26</v>
      </c>
      <c r="T2" s="2" t="s">
        <v>27</v>
      </c>
      <c r="U2" s="2" t="s">
        <v>28</v>
      </c>
    </row>
    <row r="3" spans="1:21">
      <c r="A3" s="2" t="s">
        <v>29</v>
      </c>
      <c r="B3" s="2">
        <v>48</v>
      </c>
      <c r="C3" s="2">
        <v>48</v>
      </c>
      <c r="D3" s="3">
        <v>0</v>
      </c>
      <c r="E3" s="2">
        <v>41</v>
      </c>
      <c r="F3" s="3">
        <v>-0.1458</v>
      </c>
      <c r="G3" s="2">
        <v>42</v>
      </c>
      <c r="H3" s="3">
        <v>-0.125</v>
      </c>
      <c r="I3" s="2">
        <v>49</v>
      </c>
      <c r="J3" s="3">
        <v>0.0208</v>
      </c>
      <c r="K3" s="2">
        <v>29</v>
      </c>
      <c r="L3" s="3">
        <v>-0.3958</v>
      </c>
      <c r="M3" s="2">
        <v>47</v>
      </c>
      <c r="N3" s="3">
        <v>-0.0208</v>
      </c>
      <c r="O3" s="2" t="s">
        <v>30</v>
      </c>
      <c r="P3" s="2" t="s">
        <v>31</v>
      </c>
      <c r="Q3" s="2" t="s">
        <v>32</v>
      </c>
      <c r="R3" s="2" t="s">
        <v>33</v>
      </c>
      <c r="S3" s="2" t="s">
        <v>34</v>
      </c>
      <c r="T3" s="2" t="s">
        <v>35</v>
      </c>
      <c r="U3" s="2" t="s">
        <v>36</v>
      </c>
    </row>
    <row r="4" spans="1:21">
      <c r="A4" s="2" t="s">
        <v>37</v>
      </c>
      <c r="B4" s="2">
        <v>31795</v>
      </c>
      <c r="C4" s="2">
        <v>31796</v>
      </c>
      <c r="D4" s="3">
        <v>0</v>
      </c>
      <c r="E4" s="2">
        <v>35521</v>
      </c>
      <c r="F4" s="3">
        <v>0.1172</v>
      </c>
      <c r="G4" s="2">
        <v>35649</v>
      </c>
      <c r="H4" s="3">
        <v>0.1212</v>
      </c>
      <c r="I4" s="2">
        <v>35708</v>
      </c>
      <c r="J4" s="3">
        <v>0.1231</v>
      </c>
      <c r="K4" s="2">
        <v>39629</v>
      </c>
      <c r="L4" s="3">
        <v>0.2464</v>
      </c>
      <c r="M4" s="2">
        <v>33772</v>
      </c>
      <c r="N4" s="3">
        <v>0.0622</v>
      </c>
      <c r="O4" s="2" t="s">
        <v>38</v>
      </c>
      <c r="P4" s="2" t="s">
        <v>39</v>
      </c>
      <c r="Q4" s="2" t="s">
        <v>40</v>
      </c>
      <c r="R4" s="2" t="s">
        <v>41</v>
      </c>
      <c r="S4" s="2" t="s">
        <v>42</v>
      </c>
      <c r="T4" s="2" t="s">
        <v>43</v>
      </c>
      <c r="U4" s="2" t="s">
        <v>44</v>
      </c>
    </row>
    <row r="5" spans="1:21">
      <c r="A5" s="2" t="s">
        <v>45</v>
      </c>
      <c r="B5" s="2">
        <v>35308</v>
      </c>
      <c r="C5" s="2">
        <v>35309</v>
      </c>
      <c r="D5" s="3">
        <v>0</v>
      </c>
      <c r="E5" s="2">
        <v>36513</v>
      </c>
      <c r="F5" s="3">
        <v>0.0341</v>
      </c>
      <c r="G5" s="2">
        <v>36634</v>
      </c>
      <c r="H5" s="3">
        <v>0.03759999999999999</v>
      </c>
      <c r="I5" s="2">
        <v>35072</v>
      </c>
      <c r="J5" s="3">
        <v>-0.0067</v>
      </c>
      <c r="K5" s="2">
        <v>35411</v>
      </c>
      <c r="L5" s="3">
        <v>0.0029</v>
      </c>
      <c r="M5" s="2">
        <v>33122</v>
      </c>
      <c r="N5" s="3">
        <v>-0.0619</v>
      </c>
      <c r="O5" s="2" t="s">
        <v>46</v>
      </c>
      <c r="P5" s="2" t="s">
        <v>47</v>
      </c>
      <c r="Q5" s="2" t="s">
        <v>48</v>
      </c>
      <c r="R5" s="2" t="s">
        <v>49</v>
      </c>
      <c r="S5" s="2" t="s">
        <v>50</v>
      </c>
      <c r="T5" s="2" t="s">
        <v>51</v>
      </c>
      <c r="U5" s="2" t="s">
        <v>52</v>
      </c>
    </row>
    <row r="6" spans="1:21">
      <c r="A6" s="2" t="s">
        <v>53</v>
      </c>
      <c r="B6" s="2">
        <v>11711</v>
      </c>
      <c r="C6" s="2">
        <v>11712</v>
      </c>
      <c r="D6" s="3">
        <v>0.0001</v>
      </c>
      <c r="E6" s="2">
        <v>10392</v>
      </c>
      <c r="F6" s="3">
        <v>-0.1126</v>
      </c>
      <c r="G6" s="2">
        <v>10919</v>
      </c>
      <c r="H6" s="3">
        <v>-0.06759999999999999</v>
      </c>
      <c r="I6" s="2">
        <v>12062</v>
      </c>
      <c r="J6" s="3">
        <v>0.03</v>
      </c>
      <c r="K6" s="2">
        <v>10888</v>
      </c>
      <c r="L6" s="3">
        <v>-0.0703</v>
      </c>
      <c r="M6" s="2">
        <v>11626</v>
      </c>
      <c r="N6" s="3">
        <v>-0.0073</v>
      </c>
      <c r="O6" s="2" t="s">
        <v>54</v>
      </c>
      <c r="P6" s="2" t="s">
        <v>55</v>
      </c>
      <c r="Q6" s="2" t="s">
        <v>56</v>
      </c>
      <c r="R6" s="2" t="s">
        <v>57</v>
      </c>
      <c r="S6" s="2" t="s">
        <v>58</v>
      </c>
      <c r="T6" s="2" t="s">
        <v>59</v>
      </c>
      <c r="U6" s="2" t="s">
        <v>60</v>
      </c>
    </row>
    <row r="7" spans="1:21">
      <c r="A7" s="2" t="s">
        <v>61</v>
      </c>
      <c r="B7" s="2">
        <v>49293</v>
      </c>
      <c r="C7" s="2">
        <v>49293</v>
      </c>
      <c r="D7" s="3">
        <v>0</v>
      </c>
      <c r="E7" s="2">
        <v>54610</v>
      </c>
      <c r="F7" s="3">
        <v>0.1079</v>
      </c>
      <c r="G7" s="2">
        <v>57198</v>
      </c>
      <c r="H7" s="3">
        <v>0.1604</v>
      </c>
      <c r="I7" s="2">
        <v>52340</v>
      </c>
      <c r="J7" s="3">
        <v>0.06179999999999999</v>
      </c>
      <c r="K7" s="2">
        <v>63546</v>
      </c>
      <c r="L7" s="3">
        <v>0.2891</v>
      </c>
      <c r="M7" s="2">
        <v>49315</v>
      </c>
      <c r="N7" s="3">
        <v>0.0004</v>
      </c>
      <c r="O7" s="2" t="s">
        <v>62</v>
      </c>
      <c r="P7" s="2" t="s">
        <v>63</v>
      </c>
      <c r="Q7" s="2" t="s">
        <v>64</v>
      </c>
      <c r="R7" s="2" t="s">
        <v>65</v>
      </c>
      <c r="S7" s="2" t="s">
        <v>66</v>
      </c>
      <c r="T7" s="2" t="s">
        <v>67</v>
      </c>
      <c r="U7" s="2" t="s">
        <v>68</v>
      </c>
    </row>
    <row r="8" spans="1:21">
      <c r="A8" s="2" t="s">
        <v>69</v>
      </c>
      <c r="B8" s="2">
        <v>1375</v>
      </c>
      <c r="C8" s="2">
        <v>1375</v>
      </c>
      <c r="D8" s="3">
        <v>0</v>
      </c>
      <c r="E8" s="2">
        <v>500</v>
      </c>
      <c r="F8" s="3">
        <v>-0.6364</v>
      </c>
      <c r="G8" s="2">
        <v>500</v>
      </c>
      <c r="H8" s="3">
        <v>-0.6364</v>
      </c>
      <c r="I8" s="2">
        <v>334</v>
      </c>
      <c r="J8" s="3">
        <v>-0.7570999999999999</v>
      </c>
      <c r="K8" s="2">
        <v>723</v>
      </c>
      <c r="L8" s="3">
        <v>-0.4742</v>
      </c>
      <c r="M8" s="2">
        <v>343</v>
      </c>
      <c r="N8" s="3">
        <v>-0.7504999999999999</v>
      </c>
      <c r="O8" s="2" t="s">
        <v>70</v>
      </c>
      <c r="P8" s="2" t="s">
        <v>71</v>
      </c>
      <c r="Q8" s="2" t="s">
        <v>72</v>
      </c>
      <c r="R8" s="2" t="s">
        <v>73</v>
      </c>
      <c r="S8" s="2" t="s">
        <v>74</v>
      </c>
      <c r="T8" s="2" t="s">
        <v>75</v>
      </c>
      <c r="U8" s="2" t="s">
        <v>76</v>
      </c>
    </row>
    <row r="9" spans="1:21">
      <c r="A9" s="2" t="s">
        <v>77</v>
      </c>
      <c r="B9" s="2">
        <v>1353</v>
      </c>
      <c r="C9" s="2">
        <v>1353</v>
      </c>
      <c r="D9" s="3">
        <v>0</v>
      </c>
      <c r="E9" s="2">
        <v>500</v>
      </c>
      <c r="F9" s="3">
        <v>-0.6304999999999999</v>
      </c>
      <c r="G9" s="2">
        <v>500</v>
      </c>
      <c r="H9" s="3">
        <v>-0.6304999999999999</v>
      </c>
      <c r="I9" s="2">
        <v>334</v>
      </c>
      <c r="J9" s="3">
        <v>-0.7531</v>
      </c>
      <c r="K9" s="2">
        <v>719</v>
      </c>
      <c r="L9" s="3">
        <v>-0.4686</v>
      </c>
      <c r="M9" s="2">
        <v>343</v>
      </c>
      <c r="N9" s="3">
        <v>-0.7465000000000001</v>
      </c>
      <c r="O9" s="2" t="s">
        <v>78</v>
      </c>
      <c r="P9" s="2" t="s">
        <v>79</v>
      </c>
      <c r="Q9" s="2" t="s">
        <v>72</v>
      </c>
      <c r="R9" s="2" t="s">
        <v>80</v>
      </c>
      <c r="S9" s="2" t="s">
        <v>81</v>
      </c>
      <c r="T9" s="2" t="s">
        <v>82</v>
      </c>
      <c r="U9" s="2" t="s">
        <v>83</v>
      </c>
    </row>
    <row r="10" spans="1:21">
      <c r="A10" s="2" t="s">
        <v>84</v>
      </c>
      <c r="B10" s="2">
        <v>1346</v>
      </c>
      <c r="C10" s="2">
        <v>1346</v>
      </c>
      <c r="D10" s="3">
        <v>0</v>
      </c>
      <c r="E10" s="2">
        <v>500</v>
      </c>
      <c r="F10" s="3">
        <v>-0.6285000000000001</v>
      </c>
      <c r="G10" s="2">
        <v>500</v>
      </c>
      <c r="H10" s="3">
        <v>-0.6285000000000001</v>
      </c>
      <c r="I10" s="2">
        <v>334</v>
      </c>
      <c r="J10" s="3">
        <v>-0.7519</v>
      </c>
      <c r="K10" s="2">
        <v>659</v>
      </c>
      <c r="L10" s="3">
        <v>-0.5104</v>
      </c>
      <c r="M10" s="2">
        <v>340</v>
      </c>
      <c r="N10" s="3">
        <v>-0.7474</v>
      </c>
      <c r="O10" s="2" t="s">
        <v>85</v>
      </c>
      <c r="P10" s="2" t="s">
        <v>86</v>
      </c>
      <c r="Q10" s="2" t="s">
        <v>72</v>
      </c>
      <c r="R10" s="2" t="s">
        <v>87</v>
      </c>
      <c r="S10" s="2" t="s">
        <v>88</v>
      </c>
      <c r="T10" s="2" t="s">
        <v>89</v>
      </c>
      <c r="U10" s="2" t="s">
        <v>90</v>
      </c>
    </row>
    <row r="11" spans="1:21">
      <c r="A11" s="2" t="s">
        <v>91</v>
      </c>
      <c r="B11" s="2">
        <v>1344</v>
      </c>
      <c r="C11" s="2">
        <v>1344</v>
      </c>
      <c r="D11" s="3">
        <v>0</v>
      </c>
      <c r="E11" s="2">
        <v>500</v>
      </c>
      <c r="F11" s="3">
        <v>-0.628</v>
      </c>
      <c r="G11" s="2">
        <v>500</v>
      </c>
      <c r="H11" s="3">
        <v>-0.628</v>
      </c>
      <c r="I11" s="2">
        <v>334</v>
      </c>
      <c r="J11" s="3">
        <v>-0.7515000000000001</v>
      </c>
      <c r="K11" s="2">
        <v>635</v>
      </c>
      <c r="L11" s="3">
        <v>-0.5275</v>
      </c>
      <c r="M11" s="2">
        <v>340</v>
      </c>
      <c r="N11" s="3">
        <v>-0.747</v>
      </c>
      <c r="O11" s="2" t="s">
        <v>92</v>
      </c>
      <c r="P11" s="2" t="s">
        <v>93</v>
      </c>
      <c r="Q11" s="2" t="s">
        <v>72</v>
      </c>
      <c r="R11" s="2" t="s">
        <v>94</v>
      </c>
      <c r="S11" s="2" t="s">
        <v>95</v>
      </c>
      <c r="T11" s="2" t="s">
        <v>96</v>
      </c>
      <c r="U11" s="2" t="s">
        <v>97</v>
      </c>
    </row>
    <row r="12" spans="1:21">
      <c r="A12" s="2" t="s">
        <v>98</v>
      </c>
      <c r="B12" s="2">
        <v>34650</v>
      </c>
      <c r="C12" s="2">
        <v>34650</v>
      </c>
      <c r="D12" s="3">
        <v>0</v>
      </c>
      <c r="E12" s="2">
        <v>12500</v>
      </c>
      <c r="F12" s="3">
        <v>-0.6392</v>
      </c>
      <c r="G12" s="2">
        <v>12500</v>
      </c>
      <c r="H12" s="3">
        <v>-0.6392</v>
      </c>
      <c r="I12" s="2">
        <v>8334</v>
      </c>
      <c r="J12" s="3">
        <v>-0.7595000000000001</v>
      </c>
      <c r="K12" s="2">
        <v>17733</v>
      </c>
      <c r="L12" s="3">
        <v>-0.4882</v>
      </c>
      <c r="M12" s="2">
        <v>8503</v>
      </c>
      <c r="N12" s="3">
        <v>-0.7545999999999999</v>
      </c>
      <c r="O12" s="2" t="s">
        <v>99</v>
      </c>
      <c r="P12" s="2" t="s">
        <v>100</v>
      </c>
      <c r="Q12" s="2" t="s">
        <v>48</v>
      </c>
      <c r="R12" s="2" t="s">
        <v>101</v>
      </c>
      <c r="S12" s="2" t="s">
        <v>102</v>
      </c>
      <c r="T12" s="2" t="s">
        <v>103</v>
      </c>
      <c r="U12" s="2" t="s">
        <v>104</v>
      </c>
    </row>
    <row r="13" spans="1:21">
      <c r="A13" s="2" t="s">
        <v>105</v>
      </c>
      <c r="B13" s="2">
        <v>1139</v>
      </c>
      <c r="C13" s="2">
        <v>1139</v>
      </c>
      <c r="D13" s="3">
        <v>0</v>
      </c>
      <c r="E13" s="2">
        <v>500</v>
      </c>
      <c r="F13" s="3">
        <v>-0.5610000000000001</v>
      </c>
      <c r="G13" s="2">
        <v>500</v>
      </c>
      <c r="H13" s="3">
        <v>-0.5610000000000001</v>
      </c>
      <c r="I13" s="2">
        <v>334</v>
      </c>
      <c r="J13" s="3">
        <v>-0.7068000000000001</v>
      </c>
      <c r="K13" s="2">
        <v>1247</v>
      </c>
      <c r="L13" s="3">
        <v>0.09480000000000001</v>
      </c>
      <c r="M13" s="2">
        <v>401</v>
      </c>
      <c r="N13" s="3">
        <v>-0.6479</v>
      </c>
      <c r="O13" s="2" t="s">
        <v>106</v>
      </c>
      <c r="P13" s="2" t="s">
        <v>107</v>
      </c>
      <c r="Q13" s="2" t="s">
        <v>72</v>
      </c>
      <c r="R13" s="2" t="s">
        <v>108</v>
      </c>
      <c r="S13" s="2" t="s">
        <v>109</v>
      </c>
      <c r="T13" s="2" t="s">
        <v>110</v>
      </c>
      <c r="U13" s="2" t="s">
        <v>111</v>
      </c>
    </row>
    <row r="14" spans="1:21">
      <c r="A14" s="2" t="s">
        <v>112</v>
      </c>
      <c r="B14" s="2">
        <v>1375</v>
      </c>
      <c r="C14" s="2">
        <v>1375</v>
      </c>
      <c r="D14" s="3">
        <v>0</v>
      </c>
      <c r="E14" s="2">
        <v>500</v>
      </c>
      <c r="F14" s="3">
        <v>-0.6364</v>
      </c>
      <c r="G14" s="2">
        <v>500</v>
      </c>
      <c r="H14" s="3">
        <v>-0.6364</v>
      </c>
      <c r="I14" s="2">
        <v>334</v>
      </c>
      <c r="J14" s="3">
        <v>-0.7570999999999999</v>
      </c>
      <c r="K14" s="2">
        <v>723</v>
      </c>
      <c r="L14" s="3">
        <v>-0.4742</v>
      </c>
      <c r="M14" s="2">
        <v>343</v>
      </c>
      <c r="N14" s="3">
        <v>-0.7504999999999999</v>
      </c>
      <c r="O14" s="2" t="s">
        <v>113</v>
      </c>
      <c r="P14" s="2" t="s">
        <v>114</v>
      </c>
      <c r="Q14" s="2" t="s">
        <v>72</v>
      </c>
      <c r="R14" s="2" t="s">
        <v>115</v>
      </c>
      <c r="S14" s="2" t="s">
        <v>116</v>
      </c>
      <c r="T14" s="2" t="s">
        <v>117</v>
      </c>
      <c r="U14" s="2" t="s">
        <v>118</v>
      </c>
    </row>
    <row r="15" spans="1:21">
      <c r="A15" s="2" t="s">
        <v>119</v>
      </c>
      <c r="B15" s="2">
        <v>1346</v>
      </c>
      <c r="C15" s="2">
        <v>1346</v>
      </c>
      <c r="D15" s="3">
        <v>0</v>
      </c>
      <c r="E15" s="2">
        <v>500</v>
      </c>
      <c r="F15" s="3">
        <v>-0.6285000000000001</v>
      </c>
      <c r="G15" s="2">
        <v>500</v>
      </c>
      <c r="H15" s="3">
        <v>-0.6285000000000001</v>
      </c>
      <c r="I15" s="2">
        <v>334</v>
      </c>
      <c r="J15" s="3">
        <v>-0.7519</v>
      </c>
      <c r="K15" s="2">
        <v>659</v>
      </c>
      <c r="L15" s="3">
        <v>-0.5104</v>
      </c>
      <c r="M15" s="2">
        <v>340</v>
      </c>
      <c r="N15" s="3">
        <v>-0.7474</v>
      </c>
      <c r="O15" s="2" t="s">
        <v>120</v>
      </c>
      <c r="P15" s="2" t="s">
        <v>121</v>
      </c>
      <c r="Q15" s="2" t="s">
        <v>72</v>
      </c>
      <c r="R15" s="2" t="s">
        <v>122</v>
      </c>
      <c r="S15" s="2" t="s">
        <v>123</v>
      </c>
      <c r="T15" s="2" t="s">
        <v>124</v>
      </c>
      <c r="U15" s="2" t="s">
        <v>125</v>
      </c>
    </row>
    <row r="16" spans="1:21">
      <c r="A16" s="2" t="s">
        <v>126</v>
      </c>
      <c r="B16" s="2">
        <v>1344</v>
      </c>
      <c r="C16" s="2">
        <v>1344</v>
      </c>
      <c r="D16" s="3">
        <v>0</v>
      </c>
      <c r="E16" s="2">
        <v>500</v>
      </c>
      <c r="F16" s="3">
        <v>-0.628</v>
      </c>
      <c r="G16" s="2">
        <v>500</v>
      </c>
      <c r="H16" s="3">
        <v>-0.628</v>
      </c>
      <c r="I16" s="2">
        <v>334</v>
      </c>
      <c r="J16" s="3">
        <v>-0.7515000000000001</v>
      </c>
      <c r="K16" s="2">
        <v>635</v>
      </c>
      <c r="L16" s="3">
        <v>-0.5275</v>
      </c>
      <c r="M16" s="2">
        <v>340</v>
      </c>
      <c r="N16" s="3">
        <v>-0.747</v>
      </c>
      <c r="O16" s="2" t="s">
        <v>127</v>
      </c>
      <c r="P16" s="2" t="s">
        <v>128</v>
      </c>
      <c r="Q16" s="2" t="s">
        <v>72</v>
      </c>
      <c r="R16" s="2" t="s">
        <v>129</v>
      </c>
      <c r="S16" s="2" t="s">
        <v>130</v>
      </c>
      <c r="T16" s="2" t="s">
        <v>131</v>
      </c>
      <c r="U16" s="2" t="s">
        <v>132</v>
      </c>
    </row>
    <row r="17" spans="1:21">
      <c r="A17" s="2" t="s">
        <v>133</v>
      </c>
      <c r="B17" s="2">
        <v>1353</v>
      </c>
      <c r="C17" s="2">
        <v>1353</v>
      </c>
      <c r="D17" s="3">
        <v>0</v>
      </c>
      <c r="E17" s="2">
        <v>500</v>
      </c>
      <c r="F17" s="3">
        <v>-0.6304999999999999</v>
      </c>
      <c r="G17" s="2">
        <v>500</v>
      </c>
      <c r="H17" s="3">
        <v>-0.6304999999999999</v>
      </c>
      <c r="I17" s="2">
        <v>334</v>
      </c>
      <c r="J17" s="3">
        <v>-0.7531</v>
      </c>
      <c r="K17" s="2">
        <v>719</v>
      </c>
      <c r="L17" s="3">
        <v>-0.4686</v>
      </c>
      <c r="M17" s="2">
        <v>343</v>
      </c>
      <c r="N17" s="3">
        <v>-0.7465000000000001</v>
      </c>
      <c r="O17" s="2" t="s">
        <v>134</v>
      </c>
      <c r="P17" s="2" t="s">
        <v>135</v>
      </c>
      <c r="Q17" s="2" t="s">
        <v>24</v>
      </c>
      <c r="R17" s="2" t="s">
        <v>136</v>
      </c>
      <c r="S17" s="2" t="s">
        <v>137</v>
      </c>
      <c r="T17" s="2" t="s">
        <v>138</v>
      </c>
      <c r="U17" s="2" t="s">
        <v>139</v>
      </c>
    </row>
    <row r="18" spans="1:21">
      <c r="A18" s="2" t="s">
        <v>140</v>
      </c>
      <c r="B18" s="2">
        <v>34776</v>
      </c>
      <c r="C18" s="2">
        <v>34776</v>
      </c>
      <c r="D18" s="3">
        <v>0</v>
      </c>
      <c r="E18" s="2">
        <v>12500</v>
      </c>
      <c r="F18" s="3">
        <v>-0.6406000000000001</v>
      </c>
      <c r="G18" s="2">
        <v>12500</v>
      </c>
      <c r="H18" s="3">
        <v>-0.6406000000000001</v>
      </c>
      <c r="I18" s="2">
        <v>8334</v>
      </c>
      <c r="J18" s="3">
        <v>-0.7604000000000001</v>
      </c>
      <c r="K18" s="2">
        <v>18763</v>
      </c>
      <c r="L18" s="3">
        <v>-0.4605</v>
      </c>
      <c r="M18" s="2">
        <v>8541</v>
      </c>
      <c r="N18" s="3">
        <v>-0.7544</v>
      </c>
      <c r="O18" s="2" t="s">
        <v>141</v>
      </c>
      <c r="P18" s="2" t="s">
        <v>142</v>
      </c>
      <c r="Q18" s="2" t="s">
        <v>143</v>
      </c>
      <c r="R18" s="2" t="s">
        <v>87</v>
      </c>
      <c r="S18" s="2" t="s">
        <v>144</v>
      </c>
      <c r="T18" s="2" t="s">
        <v>145</v>
      </c>
      <c r="U18" s="2" t="s">
        <v>146</v>
      </c>
    </row>
    <row r="19" spans="1:21">
      <c r="A19" s="2" t="s">
        <v>147</v>
      </c>
      <c r="B19" s="2">
        <v>1363</v>
      </c>
      <c r="C19" s="2">
        <v>1363</v>
      </c>
      <c r="D19" s="3">
        <v>0</v>
      </c>
      <c r="E19" s="2">
        <v>500</v>
      </c>
      <c r="F19" s="3">
        <v>-0.6332</v>
      </c>
      <c r="G19" s="2">
        <v>504</v>
      </c>
      <c r="H19" s="3">
        <v>-0.6302</v>
      </c>
      <c r="I19" s="2">
        <v>400</v>
      </c>
      <c r="J19" s="3">
        <v>-0.7065</v>
      </c>
      <c r="K19" s="2">
        <v>780</v>
      </c>
      <c r="L19" s="3">
        <v>-0.4277</v>
      </c>
      <c r="M19" s="2">
        <v>408</v>
      </c>
      <c r="N19" s="3">
        <v>-0.7006999999999999</v>
      </c>
      <c r="O19" s="2" t="s">
        <v>148</v>
      </c>
      <c r="P19" s="2" t="s">
        <v>149</v>
      </c>
      <c r="Q19" s="2" t="s">
        <v>64</v>
      </c>
      <c r="R19" s="2" t="s">
        <v>150</v>
      </c>
      <c r="S19" s="2" t="s">
        <v>151</v>
      </c>
      <c r="T19" s="2" t="s">
        <v>152</v>
      </c>
      <c r="U19" s="2" t="s">
        <v>153</v>
      </c>
    </row>
    <row r="20" spans="1:21">
      <c r="A20" s="2" t="s">
        <v>154</v>
      </c>
      <c r="B20" s="2">
        <v>26457</v>
      </c>
      <c r="C20" s="2">
        <v>26457</v>
      </c>
      <c r="D20" s="3">
        <v>0</v>
      </c>
      <c r="E20" s="2">
        <v>18800</v>
      </c>
      <c r="F20" s="3">
        <v>-0.2894</v>
      </c>
      <c r="G20" s="2">
        <v>25697</v>
      </c>
      <c r="H20" s="3">
        <v>-0.0287</v>
      </c>
      <c r="I20" s="2">
        <v>24745</v>
      </c>
      <c r="J20" s="3">
        <v>-0.06469999999999999</v>
      </c>
      <c r="K20" s="2">
        <v>18804</v>
      </c>
      <c r="L20" s="3">
        <v>-0.2893</v>
      </c>
      <c r="M20" s="2">
        <v>24697</v>
      </c>
      <c r="N20" s="3">
        <v>-0.0665</v>
      </c>
      <c r="O20" s="2" t="s">
        <v>155</v>
      </c>
      <c r="P20" s="2" t="s">
        <v>156</v>
      </c>
      <c r="Q20" s="2" t="s">
        <v>157</v>
      </c>
      <c r="R20" s="2" t="s">
        <v>158</v>
      </c>
      <c r="S20" s="2" t="s">
        <v>159</v>
      </c>
      <c r="T20" s="2" t="s">
        <v>160</v>
      </c>
      <c r="U20" s="2" t="s">
        <v>161</v>
      </c>
    </row>
    <row r="21" spans="1:21">
      <c r="A21" s="2" t="s">
        <v>162</v>
      </c>
      <c r="B21" s="2">
        <v>13489</v>
      </c>
      <c r="C21" s="2">
        <v>13489</v>
      </c>
      <c r="D21" s="3">
        <v>0</v>
      </c>
      <c r="E21" s="2">
        <v>12516</v>
      </c>
      <c r="F21" s="3">
        <v>-0.0721</v>
      </c>
      <c r="G21" s="2">
        <v>12640</v>
      </c>
      <c r="H21" s="3">
        <v>-0.0629</v>
      </c>
      <c r="I21" s="2">
        <v>12897</v>
      </c>
      <c r="J21" s="3">
        <v>-0.04389999999999999</v>
      </c>
      <c r="K21" s="2">
        <v>16069</v>
      </c>
      <c r="L21" s="3">
        <v>0.1913</v>
      </c>
      <c r="M21" s="2">
        <v>12345</v>
      </c>
      <c r="N21" s="3">
        <v>-0.0848</v>
      </c>
      <c r="O21" s="2" t="s">
        <v>163</v>
      </c>
      <c r="P21" s="2" t="s">
        <v>164</v>
      </c>
      <c r="Q21" s="2" t="s">
        <v>165</v>
      </c>
      <c r="R21" s="2" t="s">
        <v>94</v>
      </c>
      <c r="S21" s="2" t="s">
        <v>166</v>
      </c>
      <c r="T21" s="2" t="s">
        <v>167</v>
      </c>
      <c r="U21" s="2" t="s">
        <v>168</v>
      </c>
    </row>
    <row r="22" spans="1:21">
      <c r="A22" s="2" t="s">
        <v>169</v>
      </c>
      <c r="B22" s="2">
        <v>14186</v>
      </c>
      <c r="C22" s="2">
        <v>14186</v>
      </c>
      <c r="D22" s="3">
        <v>0</v>
      </c>
      <c r="E22" s="2">
        <v>13055</v>
      </c>
      <c r="F22" s="3">
        <v>-0.07969999999999999</v>
      </c>
      <c r="G22" s="2">
        <v>13199</v>
      </c>
      <c r="H22" s="3">
        <v>-0.0696</v>
      </c>
      <c r="I22" s="2">
        <v>15761</v>
      </c>
      <c r="J22" s="3">
        <v>0.111</v>
      </c>
      <c r="K22" s="2">
        <v>13957</v>
      </c>
      <c r="L22" s="3">
        <v>-0.0161</v>
      </c>
      <c r="M22" s="2">
        <v>14908</v>
      </c>
      <c r="N22" s="3">
        <v>0.0509</v>
      </c>
      <c r="O22" s="2" t="s">
        <v>170</v>
      </c>
      <c r="P22" s="2" t="s">
        <v>171</v>
      </c>
      <c r="Q22" s="2" t="s">
        <v>172</v>
      </c>
      <c r="R22" s="2" t="s">
        <v>173</v>
      </c>
      <c r="S22" s="2" t="s">
        <v>174</v>
      </c>
      <c r="T22" s="2" t="s">
        <v>175</v>
      </c>
      <c r="U22" s="2" t="s">
        <v>176</v>
      </c>
    </row>
    <row r="23" spans="1:21">
      <c r="A23" s="2" t="s">
        <v>177</v>
      </c>
      <c r="B23" s="2">
        <v>10446</v>
      </c>
      <c r="C23" s="2">
        <v>10446</v>
      </c>
      <c r="D23" s="3">
        <v>0</v>
      </c>
      <c r="E23" s="2">
        <v>12528</v>
      </c>
      <c r="F23" s="3">
        <v>0.1993</v>
      </c>
      <c r="G23" s="2">
        <v>12618</v>
      </c>
      <c r="H23" s="3">
        <v>0.2079</v>
      </c>
      <c r="I23" s="2">
        <v>12035</v>
      </c>
      <c r="J23" s="3">
        <v>0.1521</v>
      </c>
      <c r="K23" s="2">
        <v>13366</v>
      </c>
      <c r="L23" s="3">
        <v>0.2795</v>
      </c>
      <c r="M23" s="2">
        <v>11391</v>
      </c>
      <c r="N23" s="3">
        <v>0.09050000000000001</v>
      </c>
      <c r="O23" s="2" t="s">
        <v>178</v>
      </c>
      <c r="P23" s="2" t="s">
        <v>179</v>
      </c>
      <c r="Q23" s="2" t="s">
        <v>40</v>
      </c>
      <c r="R23" s="2" t="s">
        <v>180</v>
      </c>
      <c r="S23" s="2" t="s">
        <v>181</v>
      </c>
      <c r="T23" s="2" t="s">
        <v>182</v>
      </c>
      <c r="U23" s="2" t="s">
        <v>183</v>
      </c>
    </row>
    <row r="24" spans="1:21">
      <c r="A24" s="2" t="s">
        <v>184</v>
      </c>
      <c r="B24" s="2">
        <v>13804</v>
      </c>
      <c r="C24" s="2">
        <v>13804</v>
      </c>
      <c r="D24" s="3">
        <v>0</v>
      </c>
      <c r="E24" s="2">
        <v>12736</v>
      </c>
      <c r="F24" s="3">
        <v>-0.0774</v>
      </c>
      <c r="G24" s="2">
        <v>12856</v>
      </c>
      <c r="H24" s="3">
        <v>-0.0687</v>
      </c>
      <c r="I24" s="2">
        <v>12785</v>
      </c>
      <c r="J24" s="3">
        <v>-0.0738</v>
      </c>
      <c r="K24" s="2">
        <v>12888</v>
      </c>
      <c r="L24" s="3">
        <v>-0.0664</v>
      </c>
      <c r="M24" s="2">
        <v>12050</v>
      </c>
      <c r="N24" s="3">
        <v>-0.1271</v>
      </c>
      <c r="O24" s="2" t="s">
        <v>185</v>
      </c>
      <c r="P24" s="2" t="s">
        <v>186</v>
      </c>
      <c r="Q24" s="2" t="s">
        <v>187</v>
      </c>
      <c r="R24" s="2" t="s">
        <v>65</v>
      </c>
      <c r="S24" s="2" t="s">
        <v>188</v>
      </c>
      <c r="T24" s="2" t="s">
        <v>189</v>
      </c>
      <c r="U24" s="2" t="s">
        <v>166</v>
      </c>
    </row>
    <row r="25" spans="1:21">
      <c r="A25" s="2" t="s">
        <v>190</v>
      </c>
      <c r="B25" s="2">
        <v>13160</v>
      </c>
      <c r="C25" s="2">
        <v>13160</v>
      </c>
      <c r="D25" s="3">
        <v>0</v>
      </c>
      <c r="E25" s="2">
        <v>12500</v>
      </c>
      <c r="F25" s="3">
        <v>-0.05019999999999999</v>
      </c>
      <c r="G25" s="2">
        <v>12826</v>
      </c>
      <c r="H25" s="3">
        <v>-0.0254</v>
      </c>
      <c r="I25" s="2">
        <v>14518</v>
      </c>
      <c r="J25" s="3">
        <v>0.1032</v>
      </c>
      <c r="K25" s="2">
        <v>14879</v>
      </c>
      <c r="L25" s="3">
        <v>0.1306</v>
      </c>
      <c r="M25" s="2">
        <v>13707</v>
      </c>
      <c r="N25" s="3">
        <v>0.0416</v>
      </c>
      <c r="O25" s="2" t="s">
        <v>191</v>
      </c>
      <c r="P25" s="2" t="s">
        <v>192</v>
      </c>
      <c r="Q25" s="2" t="s">
        <v>40</v>
      </c>
      <c r="R25" s="2" t="s">
        <v>193</v>
      </c>
      <c r="S25" s="2" t="s">
        <v>194</v>
      </c>
      <c r="T25" s="2" t="s">
        <v>195</v>
      </c>
      <c r="U25" s="2" t="s">
        <v>196</v>
      </c>
    </row>
    <row r="26" spans="1:21">
      <c r="A26" s="2" t="s">
        <v>197</v>
      </c>
      <c r="B26" s="2">
        <v>25534</v>
      </c>
      <c r="C26" s="2">
        <v>25534</v>
      </c>
      <c r="D26" s="3">
        <v>0</v>
      </c>
      <c r="E26" s="2">
        <v>20463</v>
      </c>
      <c r="F26" s="3">
        <v>-0.1986</v>
      </c>
      <c r="G26" s="2">
        <v>23134</v>
      </c>
      <c r="H26" s="3">
        <v>-0.094</v>
      </c>
      <c r="I26" s="2">
        <v>24757</v>
      </c>
      <c r="J26" s="3">
        <v>-0.0304</v>
      </c>
      <c r="K26" s="2">
        <v>22301</v>
      </c>
      <c r="L26" s="3">
        <v>-0.1266</v>
      </c>
      <c r="M26" s="2">
        <v>23942</v>
      </c>
      <c r="N26" s="3">
        <v>-0.0623</v>
      </c>
      <c r="O26" s="2" t="s">
        <v>198</v>
      </c>
      <c r="P26" s="2" t="s">
        <v>199</v>
      </c>
      <c r="Q26" s="2" t="s">
        <v>200</v>
      </c>
      <c r="R26" s="2" t="s">
        <v>201</v>
      </c>
      <c r="S26" s="2" t="s">
        <v>202</v>
      </c>
      <c r="T26" s="2" t="s">
        <v>203</v>
      </c>
      <c r="U26" s="2" t="s">
        <v>204</v>
      </c>
    </row>
    <row r="27" spans="1:21">
      <c r="A27" s="2" t="s">
        <v>205</v>
      </c>
      <c r="B27" s="2">
        <v>25819</v>
      </c>
      <c r="C27" s="2">
        <v>25819</v>
      </c>
      <c r="D27" s="3">
        <v>0</v>
      </c>
      <c r="E27" s="2">
        <v>20479</v>
      </c>
      <c r="F27" s="3">
        <v>-0.2068</v>
      </c>
      <c r="G27" s="2">
        <v>23671</v>
      </c>
      <c r="H27" s="3">
        <v>-0.0832</v>
      </c>
      <c r="I27" s="2">
        <v>25034</v>
      </c>
      <c r="J27" s="3">
        <v>-0.0304</v>
      </c>
      <c r="K27" s="2">
        <v>21971</v>
      </c>
      <c r="L27" s="3">
        <v>-0.149</v>
      </c>
      <c r="M27" s="2">
        <v>24198</v>
      </c>
      <c r="N27" s="3">
        <v>-0.06280000000000001</v>
      </c>
      <c r="O27" s="2" t="s">
        <v>206</v>
      </c>
      <c r="P27" s="2" t="s">
        <v>207</v>
      </c>
      <c r="Q27" s="2" t="s">
        <v>208</v>
      </c>
      <c r="R27" s="2" t="s">
        <v>193</v>
      </c>
      <c r="S27" s="2" t="s">
        <v>209</v>
      </c>
      <c r="T27" s="2" t="s">
        <v>203</v>
      </c>
      <c r="U27" s="2" t="s">
        <v>210</v>
      </c>
    </row>
    <row r="28" spans="1:21">
      <c r="A28" s="2" t="s">
        <v>211</v>
      </c>
      <c r="B28" s="2">
        <v>25129</v>
      </c>
      <c r="C28" s="2">
        <v>25129</v>
      </c>
      <c r="D28" s="3">
        <v>0</v>
      </c>
      <c r="E28" s="2">
        <v>20483</v>
      </c>
      <c r="F28" s="3">
        <v>-0.1849</v>
      </c>
      <c r="G28" s="2">
        <v>23293</v>
      </c>
      <c r="H28" s="3">
        <v>-0.0731</v>
      </c>
      <c r="I28" s="2">
        <v>25167</v>
      </c>
      <c r="J28" s="3">
        <v>0.0015</v>
      </c>
      <c r="K28" s="2">
        <v>21801</v>
      </c>
      <c r="L28" s="3">
        <v>-0.1324</v>
      </c>
      <c r="M28" s="2">
        <v>24298</v>
      </c>
      <c r="N28" s="3">
        <v>-0.0331</v>
      </c>
      <c r="O28" s="2" t="s">
        <v>212</v>
      </c>
      <c r="P28" s="2" t="s">
        <v>213</v>
      </c>
      <c r="Q28" s="2" t="s">
        <v>48</v>
      </c>
      <c r="R28" s="2" t="s">
        <v>214</v>
      </c>
      <c r="S28" s="2" t="s">
        <v>215</v>
      </c>
      <c r="T28" s="2" t="s">
        <v>216</v>
      </c>
      <c r="U28" s="2" t="s">
        <v>217</v>
      </c>
    </row>
    <row r="29" spans="1:21">
      <c r="A29" s="2" t="s">
        <v>218</v>
      </c>
      <c r="B29" s="2">
        <v>20867</v>
      </c>
      <c r="C29" s="2">
        <v>20867</v>
      </c>
      <c r="D29" s="3">
        <v>0</v>
      </c>
      <c r="E29" s="2">
        <v>17433</v>
      </c>
      <c r="F29" s="3">
        <v>-0.1646</v>
      </c>
      <c r="G29" s="2">
        <v>18388</v>
      </c>
      <c r="H29" s="3">
        <v>-0.1188</v>
      </c>
      <c r="I29" s="2">
        <v>20459</v>
      </c>
      <c r="J29" s="3">
        <v>-0.0196</v>
      </c>
      <c r="K29" s="2">
        <v>18591</v>
      </c>
      <c r="L29" s="3">
        <v>-0.1091</v>
      </c>
      <c r="M29" s="2">
        <v>19627</v>
      </c>
      <c r="N29" s="3">
        <v>-0.0594</v>
      </c>
      <c r="O29" s="2" t="s">
        <v>219</v>
      </c>
      <c r="P29" s="2" t="s">
        <v>220</v>
      </c>
      <c r="Q29" s="2" t="s">
        <v>221</v>
      </c>
      <c r="R29" s="2" t="s">
        <v>49</v>
      </c>
      <c r="S29" s="2" t="s">
        <v>215</v>
      </c>
      <c r="T29" s="2" t="s">
        <v>222</v>
      </c>
      <c r="U29" s="2" t="s">
        <v>223</v>
      </c>
    </row>
    <row r="30" spans="1:21">
      <c r="A30" s="2" t="s">
        <v>224</v>
      </c>
      <c r="B30" s="2">
        <v>20994</v>
      </c>
      <c r="C30" s="2">
        <v>20994</v>
      </c>
      <c r="D30" s="3">
        <v>0</v>
      </c>
      <c r="E30" s="2">
        <v>17439</v>
      </c>
      <c r="F30" s="3">
        <v>-0.1693</v>
      </c>
      <c r="G30" s="2">
        <v>18459</v>
      </c>
      <c r="H30" s="3">
        <v>-0.1207</v>
      </c>
      <c r="I30" s="2">
        <v>20641</v>
      </c>
      <c r="J30" s="3">
        <v>-0.0168</v>
      </c>
      <c r="K30" s="2">
        <v>18743</v>
      </c>
      <c r="L30" s="3">
        <v>-0.1072</v>
      </c>
      <c r="M30" s="2">
        <v>19779</v>
      </c>
      <c r="N30" s="3">
        <v>-0.0579</v>
      </c>
      <c r="O30" s="2" t="s">
        <v>225</v>
      </c>
      <c r="P30" s="2" t="s">
        <v>226</v>
      </c>
      <c r="Q30" s="2" t="s">
        <v>227</v>
      </c>
      <c r="R30" s="2" t="s">
        <v>94</v>
      </c>
      <c r="S30" s="2" t="s">
        <v>228</v>
      </c>
      <c r="T30" s="2" t="s">
        <v>229</v>
      </c>
      <c r="U30" s="2" t="s">
        <v>102</v>
      </c>
    </row>
    <row r="31" spans="1:21">
      <c r="A31" s="2" t="s">
        <v>230</v>
      </c>
      <c r="B31" s="2">
        <v>21062</v>
      </c>
      <c r="C31" s="2">
        <v>21062</v>
      </c>
      <c r="D31" s="3">
        <v>0</v>
      </c>
      <c r="E31" s="2">
        <v>17438</v>
      </c>
      <c r="F31" s="3">
        <v>-0.1721</v>
      </c>
      <c r="G31" s="2">
        <v>18463</v>
      </c>
      <c r="H31" s="3">
        <v>-0.1234</v>
      </c>
      <c r="I31" s="2">
        <v>20819</v>
      </c>
      <c r="J31" s="3">
        <v>-0.0115</v>
      </c>
      <c r="K31" s="2">
        <v>18621</v>
      </c>
      <c r="L31" s="3">
        <v>-0.1159</v>
      </c>
      <c r="M31" s="2">
        <v>19940</v>
      </c>
      <c r="N31" s="3">
        <v>-0.0533</v>
      </c>
      <c r="O31" s="2" t="s">
        <v>231</v>
      </c>
      <c r="P31" s="2" t="s">
        <v>232</v>
      </c>
      <c r="Q31" s="2" t="s">
        <v>227</v>
      </c>
      <c r="R31" s="2" t="s">
        <v>233</v>
      </c>
      <c r="S31" s="2" t="s">
        <v>234</v>
      </c>
      <c r="T31" s="2" t="s">
        <v>235</v>
      </c>
      <c r="U31" s="2" t="s">
        <v>176</v>
      </c>
    </row>
    <row r="32" spans="1:21">
      <c r="A32" s="2" t="s">
        <v>236</v>
      </c>
      <c r="B32" s="2">
        <v>20594</v>
      </c>
      <c r="C32" s="2">
        <v>20594</v>
      </c>
      <c r="D32" s="3">
        <v>0</v>
      </c>
      <c r="E32" s="2">
        <v>17448</v>
      </c>
      <c r="F32" s="3">
        <v>-0.1528</v>
      </c>
      <c r="G32" s="2">
        <v>18449</v>
      </c>
      <c r="H32" s="3">
        <v>-0.1042</v>
      </c>
      <c r="I32" s="2">
        <v>20644</v>
      </c>
      <c r="J32" s="3">
        <v>0.0024</v>
      </c>
      <c r="K32" s="2">
        <v>18291</v>
      </c>
      <c r="L32" s="3">
        <v>-0.1118</v>
      </c>
      <c r="M32" s="2">
        <v>19741</v>
      </c>
      <c r="N32" s="3">
        <v>-0.0414</v>
      </c>
      <c r="O32" s="2" t="s">
        <v>237</v>
      </c>
      <c r="P32" s="2" t="s">
        <v>238</v>
      </c>
      <c r="Q32" s="2" t="s">
        <v>200</v>
      </c>
      <c r="R32" s="2" t="s">
        <v>239</v>
      </c>
      <c r="S32" s="2" t="s">
        <v>194</v>
      </c>
      <c r="T32" s="2" t="s">
        <v>240</v>
      </c>
      <c r="U32" s="2" t="s">
        <v>183</v>
      </c>
    </row>
    <row r="33" spans="1:21">
      <c r="A33" s="2" t="s">
        <v>241</v>
      </c>
      <c r="B33" s="2">
        <v>20695</v>
      </c>
      <c r="C33" s="2">
        <v>20695</v>
      </c>
      <c r="D33" s="3">
        <v>0</v>
      </c>
      <c r="E33" s="2">
        <v>17469</v>
      </c>
      <c r="F33" s="3">
        <v>-0.1559</v>
      </c>
      <c r="G33" s="2">
        <v>18405</v>
      </c>
      <c r="H33" s="3">
        <v>-0.1107</v>
      </c>
      <c r="I33" s="2">
        <v>20863</v>
      </c>
      <c r="J33" s="3">
        <v>0.008100000000000001</v>
      </c>
      <c r="K33" s="2">
        <v>18549</v>
      </c>
      <c r="L33" s="3">
        <v>-0.1037</v>
      </c>
      <c r="M33" s="2">
        <v>19974</v>
      </c>
      <c r="N33" s="3">
        <v>-0.0348</v>
      </c>
      <c r="O33" s="2" t="s">
        <v>242</v>
      </c>
      <c r="P33" s="2" t="s">
        <v>243</v>
      </c>
      <c r="Q33" s="2" t="s">
        <v>244</v>
      </c>
      <c r="R33" s="2" t="s">
        <v>245</v>
      </c>
      <c r="S33" s="2" t="s">
        <v>246</v>
      </c>
      <c r="T33" s="2" t="s">
        <v>247</v>
      </c>
      <c r="U33" s="2" t="s">
        <v>248</v>
      </c>
    </row>
    <row r="34" spans="1:21">
      <c r="A34" s="2" t="s">
        <v>249</v>
      </c>
      <c r="B34" s="2">
        <v>34260</v>
      </c>
      <c r="C34" s="2">
        <v>34260</v>
      </c>
      <c r="D34" s="3">
        <v>0</v>
      </c>
      <c r="E34" s="2">
        <v>12500</v>
      </c>
      <c r="F34" s="3">
        <v>-0.6351</v>
      </c>
      <c r="G34" s="2">
        <v>12603</v>
      </c>
      <c r="H34" s="3">
        <v>-0.6321</v>
      </c>
      <c r="I34" s="2">
        <v>10245</v>
      </c>
      <c r="J34" s="3">
        <v>-0.701</v>
      </c>
      <c r="K34" s="2">
        <v>19447</v>
      </c>
      <c r="L34" s="3">
        <v>-0.4324</v>
      </c>
      <c r="M34" s="2">
        <v>10430</v>
      </c>
      <c r="N34" s="3">
        <v>-0.6956</v>
      </c>
      <c r="O34" s="2" t="s">
        <v>250</v>
      </c>
      <c r="P34" s="2" t="s">
        <v>251</v>
      </c>
      <c r="Q34" s="2" t="s">
        <v>143</v>
      </c>
      <c r="R34" s="2" t="s">
        <v>252</v>
      </c>
      <c r="S34" s="2" t="s">
        <v>253</v>
      </c>
      <c r="T34" s="2" t="s">
        <v>254</v>
      </c>
      <c r="U34" s="2" t="s">
        <v>255</v>
      </c>
    </row>
    <row r="35" spans="1:21">
      <c r="A35" s="2" t="s">
        <v>256</v>
      </c>
      <c r="B35" s="2">
        <v>22256</v>
      </c>
      <c r="C35" s="2">
        <v>22256</v>
      </c>
      <c r="D35" s="3">
        <v>0</v>
      </c>
      <c r="E35" s="2">
        <v>12500</v>
      </c>
      <c r="F35" s="3">
        <v>-0.4384</v>
      </c>
      <c r="G35" s="2">
        <v>13057</v>
      </c>
      <c r="H35" s="3">
        <v>-0.4133</v>
      </c>
      <c r="I35" s="2">
        <v>20169</v>
      </c>
      <c r="J35" s="3">
        <v>-0.09380000000000001</v>
      </c>
      <c r="K35" s="2">
        <v>23688</v>
      </c>
      <c r="L35" s="3">
        <v>0.0643</v>
      </c>
      <c r="M35" s="2">
        <v>22969</v>
      </c>
      <c r="N35" s="3">
        <v>0.032</v>
      </c>
      <c r="O35" s="2" t="s">
        <v>257</v>
      </c>
      <c r="P35" s="2" t="s">
        <v>258</v>
      </c>
      <c r="Q35" s="2" t="s">
        <v>48</v>
      </c>
      <c r="R35" s="2" t="s">
        <v>115</v>
      </c>
      <c r="S35" s="2" t="s">
        <v>234</v>
      </c>
      <c r="T35" s="2" t="s">
        <v>259</v>
      </c>
      <c r="U35" s="2" t="s">
        <v>260</v>
      </c>
    </row>
    <row r="36" spans="1:21">
      <c r="A36" s="2" t="s">
        <v>261</v>
      </c>
      <c r="B36" s="2">
        <v>24705</v>
      </c>
      <c r="C36" s="2">
        <v>24705</v>
      </c>
      <c r="D36" s="3">
        <v>0</v>
      </c>
      <c r="E36" s="2">
        <v>12500</v>
      </c>
      <c r="F36" s="3">
        <v>-0.494</v>
      </c>
      <c r="G36" s="2">
        <v>13260</v>
      </c>
      <c r="H36" s="3">
        <v>-0.4633</v>
      </c>
      <c r="I36" s="2">
        <v>19929</v>
      </c>
      <c r="J36" s="3">
        <v>-0.1933</v>
      </c>
      <c r="K36" s="2">
        <v>24946</v>
      </c>
      <c r="L36" s="3">
        <v>0.0098</v>
      </c>
      <c r="M36" s="2">
        <v>23091</v>
      </c>
      <c r="N36" s="3">
        <v>-0.0653</v>
      </c>
      <c r="O36" s="2" t="s">
        <v>262</v>
      </c>
      <c r="P36" s="2" t="s">
        <v>263</v>
      </c>
      <c r="Q36" s="2" t="s">
        <v>264</v>
      </c>
      <c r="R36" s="2" t="s">
        <v>129</v>
      </c>
      <c r="S36" s="2" t="s">
        <v>217</v>
      </c>
      <c r="T36" s="2" t="s">
        <v>265</v>
      </c>
      <c r="U36" s="2" t="s">
        <v>266</v>
      </c>
    </row>
    <row r="37" spans="1:21">
      <c r="A37" s="2" t="s">
        <v>267</v>
      </c>
      <c r="B37" s="2">
        <v>23553</v>
      </c>
      <c r="C37" s="2">
        <v>23553</v>
      </c>
      <c r="D37" s="3">
        <v>0</v>
      </c>
      <c r="E37" s="2">
        <v>12500</v>
      </c>
      <c r="F37" s="3">
        <v>-0.4693</v>
      </c>
      <c r="G37" s="2">
        <v>13507</v>
      </c>
      <c r="H37" s="3">
        <v>-0.4265</v>
      </c>
      <c r="I37" s="2">
        <v>25546</v>
      </c>
      <c r="J37" s="3">
        <v>0.08460000000000001</v>
      </c>
      <c r="K37" s="2">
        <v>26584</v>
      </c>
      <c r="L37" s="3">
        <v>0.1287</v>
      </c>
      <c r="M37" s="2">
        <v>27781</v>
      </c>
      <c r="N37" s="3">
        <v>0.1795</v>
      </c>
      <c r="O37" s="2" t="s">
        <v>268</v>
      </c>
      <c r="P37" s="2" t="s">
        <v>269</v>
      </c>
      <c r="Q37" s="2" t="s">
        <v>48</v>
      </c>
      <c r="R37" s="2" t="s">
        <v>201</v>
      </c>
      <c r="S37" s="2" t="s">
        <v>270</v>
      </c>
      <c r="T37" s="2" t="s">
        <v>271</v>
      </c>
      <c r="U37" s="2" t="s">
        <v>272</v>
      </c>
    </row>
    <row r="38" spans="1:21">
      <c r="A38" s="2" t="s">
        <v>273</v>
      </c>
      <c r="B38" s="2">
        <v>19955</v>
      </c>
      <c r="C38" s="2">
        <v>19955</v>
      </c>
      <c r="D38" s="3">
        <v>0</v>
      </c>
      <c r="E38" s="2">
        <v>12500</v>
      </c>
      <c r="F38" s="3">
        <v>-0.3736</v>
      </c>
      <c r="G38" s="2">
        <v>14108</v>
      </c>
      <c r="H38" s="3">
        <v>-0.293</v>
      </c>
      <c r="I38" s="2">
        <v>37426</v>
      </c>
      <c r="J38" s="3">
        <v>0.8754999999999999</v>
      </c>
      <c r="K38" s="2">
        <v>22888</v>
      </c>
      <c r="L38" s="3">
        <v>0.147</v>
      </c>
      <c r="M38" s="2">
        <v>38033</v>
      </c>
      <c r="N38" s="3">
        <v>0.9059</v>
      </c>
      <c r="O38" s="2" t="s">
        <v>274</v>
      </c>
      <c r="P38" s="2" t="s">
        <v>275</v>
      </c>
      <c r="Q38" s="2" t="s">
        <v>40</v>
      </c>
      <c r="R38" s="2" t="s">
        <v>276</v>
      </c>
      <c r="S38" s="2" t="s">
        <v>148</v>
      </c>
      <c r="T38" s="2" t="s">
        <v>277</v>
      </c>
      <c r="U38" s="2" t="s">
        <v>278</v>
      </c>
    </row>
    <row r="39" spans="1:21">
      <c r="A39" s="2" t="s">
        <v>279</v>
      </c>
      <c r="B39" s="2">
        <v>34600</v>
      </c>
      <c r="C39" s="2">
        <v>34602</v>
      </c>
      <c r="D39" s="3">
        <v>0.0001</v>
      </c>
      <c r="E39" s="2">
        <v>35512</v>
      </c>
      <c r="F39" s="3">
        <v>0.0264</v>
      </c>
      <c r="G39" s="2">
        <v>36673</v>
      </c>
      <c r="H39" s="3">
        <v>0.0599</v>
      </c>
      <c r="I39" s="2">
        <v>36678</v>
      </c>
      <c r="J39" s="3">
        <v>0.0601</v>
      </c>
      <c r="K39" s="2">
        <v>40741</v>
      </c>
      <c r="L39" s="3">
        <v>0.1775</v>
      </c>
      <c r="M39" s="2">
        <v>34725</v>
      </c>
      <c r="N39" s="3">
        <v>0.0036</v>
      </c>
      <c r="O39" s="2" t="s">
        <v>280</v>
      </c>
      <c r="P39" s="2" t="s">
        <v>281</v>
      </c>
      <c r="Q39" s="2" t="s">
        <v>282</v>
      </c>
      <c r="R39" s="2" t="s">
        <v>283</v>
      </c>
      <c r="S39" s="2" t="s">
        <v>284</v>
      </c>
      <c r="T39" s="2" t="s">
        <v>285</v>
      </c>
      <c r="U39" s="2" t="s">
        <v>286</v>
      </c>
    </row>
  </sheetData>
  <autoFilter ref="A1:U3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32.7109375" customWidth="1"/>
    <col min="2" max="4" width="20.7109375" customWidth="1"/>
    <col min="5" max="5" width="48.7109375" customWidth="1"/>
  </cols>
  <sheetData>
    <row r="1" spans="1:5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</row>
    <row r="2" spans="1:5">
      <c r="A2" s="2" t="s">
        <v>3</v>
      </c>
      <c r="B2" s="3">
        <f>MAX(Accuracy!$D$2:$D$39)</f>
        <v>0</v>
      </c>
      <c r="C2" s="2">
        <f>INDEX(Accuracy!$A$2:$A$39,MATCH(MAX(Accuracy!$D$2:$D$39),Accuracy!$D$2:$D$39,0))</f>
        <v>0</v>
      </c>
      <c r="D2" s="3">
        <f>MIN(Accuracy!$D$2:$D$39)</f>
        <v>0</v>
      </c>
      <c r="E2" s="2">
        <f>INDEX(Accuracy!$A$2:$A$39,MATCH(MIN(Accuracy!$D$2:$D$39),Accuracy!$D$2:$D$39,0))</f>
        <v>0</v>
      </c>
    </row>
    <row r="3" spans="1:5">
      <c r="A3" s="2" t="s">
        <v>5</v>
      </c>
      <c r="B3" s="3">
        <f>MAX(Accuracy!$F$2:$F$39)</f>
        <v>0</v>
      </c>
      <c r="C3" s="2">
        <f>INDEX(Accuracy!$A$2:$A$39,MATCH(MAX(Accuracy!$F$2:$F$39),Accuracy!$F$2:$F$39,0))</f>
        <v>0</v>
      </c>
      <c r="D3" s="3">
        <f>MIN(Accuracy!$F$2:$F$39)</f>
        <v>0</v>
      </c>
      <c r="E3" s="2">
        <f>INDEX(Accuracy!$A$2:$A$39,MATCH(MIN(Accuracy!$F$2:$F$39),Accuracy!$F$2:$F$39,0))</f>
        <v>0</v>
      </c>
    </row>
    <row r="4" spans="1:5">
      <c r="A4" s="2" t="s">
        <v>7</v>
      </c>
      <c r="B4" s="3">
        <f>MAX(Accuracy!$H$2:$H$39)</f>
        <v>0</v>
      </c>
      <c r="C4" s="2">
        <f>INDEX(Accuracy!$A$2:$A$39,MATCH(MAX(Accuracy!$H$2:$H$39),Accuracy!$H$2:$H$39,0))</f>
        <v>0</v>
      </c>
      <c r="D4" s="3">
        <f>MIN(Accuracy!$H$2:$H$39)</f>
        <v>0</v>
      </c>
      <c r="E4" s="2">
        <f>INDEX(Accuracy!$A$2:$A$39,MATCH(MIN(Accuracy!$H$2:$H$39),Accuracy!$H$2:$H$39,0))</f>
        <v>0</v>
      </c>
    </row>
    <row r="5" spans="1:5">
      <c r="A5" s="2" t="s">
        <v>9</v>
      </c>
      <c r="B5" s="3">
        <f>MAX(Accuracy!$J$2:$J$39)</f>
        <v>0</v>
      </c>
      <c r="C5" s="2">
        <f>INDEX(Accuracy!$A$2:$A$39,MATCH(MAX(Accuracy!$J$2:$J$39),Accuracy!$J$2:$J$39,0))</f>
        <v>0</v>
      </c>
      <c r="D5" s="3">
        <f>MIN(Accuracy!$J$2:$J$39)</f>
        <v>0</v>
      </c>
      <c r="E5" s="2">
        <f>INDEX(Accuracy!$A$2:$A$39,MATCH(MIN(Accuracy!$J$2:$J$39),Accuracy!$J$2:$J$39,0))</f>
        <v>0</v>
      </c>
    </row>
    <row r="6" spans="1:5">
      <c r="A6" s="2" t="s">
        <v>11</v>
      </c>
      <c r="B6" s="3">
        <f>MAX(Accuracy!$L$2:$L$39)</f>
        <v>0</v>
      </c>
      <c r="C6" s="2">
        <f>INDEX(Accuracy!$A$2:$A$39,MATCH(MAX(Accuracy!$L$2:$L$39),Accuracy!$L$2:$L$39,0))</f>
        <v>0</v>
      </c>
      <c r="D6" s="3">
        <f>MIN(Accuracy!$L$2:$L$39)</f>
        <v>0</v>
      </c>
      <c r="E6" s="2">
        <f>INDEX(Accuracy!$A$2:$A$39,MATCH(MIN(Accuracy!$L$2:$L$39),Accuracy!$L$2:$L$39,0))</f>
        <v>0</v>
      </c>
    </row>
    <row r="7" spans="1:5">
      <c r="A7" s="2" t="s">
        <v>13</v>
      </c>
      <c r="B7" s="3">
        <f>MAX(Accuracy!$N$2:$N$39)</f>
        <v>0</v>
      </c>
      <c r="C7" s="2">
        <f>INDEX(Accuracy!$A$2:$A$39,MATCH(MAX(Accuracy!$N$2:$N$39),Accuracy!$N$2:$N$39,0))</f>
        <v>0</v>
      </c>
      <c r="D7" s="3">
        <f>MIN(Accuracy!$N$2:$N$39)</f>
        <v>0</v>
      </c>
      <c r="E7" s="2">
        <f>INDEX(Accuracy!$A$2:$A$39,MATCH(MIN(Accuracy!$N$2:$N$39),Accuracy!$N$2:$N$39,0))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Accuracy</vt:lpstr>
      <vt:lpstr>Summary</vt:lpstr>
      <vt:lpstr>Charts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2026-01-07T11:30:36Z</dcterms:created>
  <dcterms:modified xsi:type="dcterms:W3CDTF">2026-01-07T11:30:36Z</dcterms:modified>
</cp:coreProperties>
</file>